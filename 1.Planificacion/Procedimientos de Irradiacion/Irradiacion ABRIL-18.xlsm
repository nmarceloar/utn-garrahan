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-105" yWindow="105" windowWidth="12180" windowHeight="7500" activeTab="3"/>
  </bookViews>
  <sheets>
    <sheet name="Orden 1" sheetId="4" r:id="rId1"/>
    <sheet name="Orden 3" sheetId="17" r:id="rId2"/>
    <sheet name="GARRAHAN" sheetId="8" r:id="rId3"/>
    <sheet name="Datos" sheetId="2" r:id="rId4"/>
    <sheet name="Instituciones" sheetId="3" r:id="rId5"/>
    <sheet name="FACTURACION" sheetId="18" r:id="rId6"/>
    <sheet name="Personal" sheetId="11" state="hidden" r:id="rId7"/>
    <sheet name="Hoja1" sheetId="19" state="hidden" r:id="rId8"/>
  </sheets>
  <definedNames>
    <definedName name="_xlnm._FilterDatabase" localSheetId="3" hidden="1">Datos!$A$1:$G$501</definedName>
    <definedName name="inicialesaux">Personal!$C$4:$C$13</definedName>
    <definedName name="lista" localSheetId="5">FACTURACION!#REF!</definedName>
    <definedName name="lista">Instituciones!$A$3:$A$6</definedName>
    <definedName name="lista2" localSheetId="5">FACTURACION!$A$4:$A$27</definedName>
    <definedName name="lista2">Instituciones!$A$3:$A$71</definedName>
    <definedName name="listanueva" localSheetId="5">FACTURACION!$A$4:$A$18</definedName>
    <definedName name="listanueva">Instituciones!$A$3:$A$59</definedName>
    <definedName name="nombreaux">Personal!$A$4:$A$13</definedName>
    <definedName name="PERSONAL">Personal!$A$2:$A$30</definedName>
    <definedName name="tipoinstitucion" localSheetId="2">Instituciones!#REF!</definedName>
    <definedName name="tipoinstitucion" localSheetId="0">Instituciones!#REF!</definedName>
    <definedName name="tipoinstitucion" localSheetId="1">Instituciones!#REF!</definedName>
    <definedName name="_xlnm.Print_Titles" localSheetId="5">FACTURACION!$1:$3</definedName>
    <definedName name="_xlnm.Print_Titles" localSheetId="2">GARRAHAN!$6:$13</definedName>
    <definedName name="_xlnm.Print_Titles" localSheetId="4">Instituciones!$1:$2</definedName>
    <definedName name="_xlnm.Print_Titles" localSheetId="0">'Orden 1'!$1:$13</definedName>
    <definedName name="_xlnm.Print_Titles" localSheetId="1">'Orden 3'!$1:$13</definedName>
  </definedNames>
  <calcPr calcId="124519"/>
</workbook>
</file>

<file path=xl/calcChain.xml><?xml version="1.0" encoding="utf-8"?>
<calcChain xmlns="http://schemas.openxmlformats.org/spreadsheetml/2006/main">
  <c r="L3" i="2"/>
  <c r="M3"/>
  <c r="K3"/>
  <c r="J3"/>
  <c r="H3"/>
  <c r="B26" i="18"/>
  <c r="C26"/>
  <c r="D26"/>
  <c r="B27"/>
  <c r="C27"/>
  <c r="D27"/>
  <c r="B28"/>
  <c r="C28"/>
  <c r="D28"/>
  <c r="B29"/>
  <c r="C29"/>
  <c r="D29"/>
  <c r="B30"/>
  <c r="C30"/>
  <c r="D30"/>
  <c r="B31"/>
  <c r="C31"/>
  <c r="D31"/>
  <c r="B32"/>
  <c r="C32"/>
  <c r="D32"/>
  <c r="B33"/>
  <c r="C33"/>
  <c r="D33"/>
  <c r="B34"/>
  <c r="C34"/>
  <c r="D34"/>
  <c r="B35"/>
  <c r="C35"/>
  <c r="D35"/>
  <c r="B36"/>
  <c r="C36"/>
  <c r="D36"/>
  <c r="B37"/>
  <c r="C37"/>
  <c r="D37"/>
  <c r="B38"/>
  <c r="C38"/>
  <c r="D38"/>
  <c r="B39"/>
  <c r="C39"/>
  <c r="D39"/>
  <c r="D25"/>
  <c r="C25"/>
  <c r="B25"/>
  <c r="B5"/>
  <c r="C5"/>
  <c r="D5"/>
  <c r="B6"/>
  <c r="C6"/>
  <c r="D6"/>
  <c r="B7"/>
  <c r="C7"/>
  <c r="D7"/>
  <c r="B8"/>
  <c r="C8"/>
  <c r="D8"/>
  <c r="B9"/>
  <c r="C9"/>
  <c r="D9"/>
  <c r="B10"/>
  <c r="C10"/>
  <c r="D10"/>
  <c r="B11"/>
  <c r="C11"/>
  <c r="D11"/>
  <c r="B12"/>
  <c r="C12"/>
  <c r="D12"/>
  <c r="B13"/>
  <c r="C13"/>
  <c r="D13"/>
  <c r="B14"/>
  <c r="C14"/>
  <c r="D14"/>
  <c r="B15"/>
  <c r="C15"/>
  <c r="D15"/>
  <c r="B16"/>
  <c r="C16"/>
  <c r="D16"/>
  <c r="B17"/>
  <c r="C17"/>
  <c r="D17"/>
  <c r="B18"/>
  <c r="C18"/>
  <c r="D18"/>
  <c r="D4"/>
  <c r="C4"/>
  <c r="B4"/>
  <c r="M4" i="2"/>
  <c r="L4" s="1"/>
  <c r="K4"/>
  <c r="J4"/>
  <c r="M5"/>
  <c r="L5" s="1"/>
  <c r="K5"/>
  <c r="J5"/>
  <c r="L6"/>
  <c r="M6"/>
  <c r="K6"/>
  <c r="J6"/>
  <c r="M7"/>
  <c r="L7" s="1"/>
  <c r="K7"/>
  <c r="J7"/>
  <c r="L8"/>
  <c r="M8"/>
  <c r="K8"/>
  <c r="J8"/>
  <c r="M9"/>
  <c r="L9" s="1"/>
  <c r="K9"/>
  <c r="J9"/>
  <c r="L10"/>
  <c r="M10"/>
  <c r="K10"/>
  <c r="J10"/>
  <c r="M11"/>
  <c r="L11" s="1"/>
  <c r="K11"/>
  <c r="J11"/>
  <c r="L12"/>
  <c r="M12"/>
  <c r="K12"/>
  <c r="J12"/>
  <c r="M13"/>
  <c r="L13" s="1"/>
  <c r="K13"/>
  <c r="J13"/>
  <c r="L14"/>
  <c r="M14"/>
  <c r="K14"/>
  <c r="J14"/>
  <c r="M15"/>
  <c r="L15" s="1"/>
  <c r="K15"/>
  <c r="J15"/>
  <c r="L16"/>
  <c r="M16"/>
  <c r="K16"/>
  <c r="J16"/>
  <c r="M17"/>
  <c r="L17" s="1"/>
  <c r="K17"/>
  <c r="J17"/>
  <c r="L18"/>
  <c r="M18"/>
  <c r="K18"/>
  <c r="J18"/>
  <c r="M19"/>
  <c r="L19" s="1"/>
  <c r="K19"/>
  <c r="J19"/>
  <c r="L20"/>
  <c r="M20"/>
  <c r="K20"/>
  <c r="J20"/>
  <c r="M21"/>
  <c r="L21" s="1"/>
  <c r="K21"/>
  <c r="J21"/>
  <c r="L22"/>
  <c r="M22"/>
  <c r="K22"/>
  <c r="J22"/>
  <c r="M23"/>
  <c r="L23" s="1"/>
  <c r="K23"/>
  <c r="J23"/>
  <c r="L24"/>
  <c r="M24"/>
  <c r="K24"/>
  <c r="J24"/>
  <c r="M25"/>
  <c r="L25" s="1"/>
  <c r="K25"/>
  <c r="J25"/>
  <c r="L26"/>
  <c r="M26"/>
  <c r="K26"/>
  <c r="J26"/>
  <c r="M27"/>
  <c r="L27" s="1"/>
  <c r="K27"/>
  <c r="J27"/>
  <c r="L28"/>
  <c r="M28"/>
  <c r="K28"/>
  <c r="J28"/>
  <c r="M29"/>
  <c r="L29" s="1"/>
  <c r="K29"/>
  <c r="J29"/>
  <c r="M30"/>
  <c r="L30" s="1"/>
  <c r="K30"/>
  <c r="J30"/>
  <c r="M31"/>
  <c r="L31" s="1"/>
  <c r="K31"/>
  <c r="J31"/>
  <c r="L32"/>
  <c r="M32"/>
  <c r="K32"/>
  <c r="J32"/>
  <c r="M33"/>
  <c r="L33" s="1"/>
  <c r="K33"/>
  <c r="J33"/>
  <c r="M34"/>
  <c r="L34" s="1"/>
  <c r="K34"/>
  <c r="J34"/>
  <c r="M35"/>
  <c r="L35" s="1"/>
  <c r="K35"/>
  <c r="J35"/>
  <c r="L36"/>
  <c r="M36"/>
  <c r="K36"/>
  <c r="J36"/>
  <c r="M37"/>
  <c r="L37" s="1"/>
  <c r="K37"/>
  <c r="J37"/>
  <c r="M38"/>
  <c r="L38" s="1"/>
  <c r="K38"/>
  <c r="J38"/>
  <c r="M39"/>
  <c r="L39" s="1"/>
  <c r="K39"/>
  <c r="J39"/>
  <c r="L40"/>
  <c r="M40"/>
  <c r="K40"/>
  <c r="J40"/>
  <c r="M41"/>
  <c r="L41" s="1"/>
  <c r="K41"/>
  <c r="J41"/>
  <c r="M42"/>
  <c r="L42" s="1"/>
  <c r="K42"/>
  <c r="J42"/>
  <c r="M43"/>
  <c r="L43" s="1"/>
  <c r="K43"/>
  <c r="J43"/>
  <c r="L44"/>
  <c r="M44"/>
  <c r="K44"/>
  <c r="J44"/>
  <c r="M45"/>
  <c r="L45" s="1"/>
  <c r="K45"/>
  <c r="J45"/>
  <c r="M46"/>
  <c r="L46" s="1"/>
  <c r="K46"/>
  <c r="J46"/>
  <c r="M47"/>
  <c r="L47" s="1"/>
  <c r="K47"/>
  <c r="J47"/>
  <c r="L48"/>
  <c r="M48"/>
  <c r="K48"/>
  <c r="J48"/>
  <c r="M49"/>
  <c r="L49" s="1"/>
  <c r="K49"/>
  <c r="J49"/>
  <c r="M50"/>
  <c r="L50" s="1"/>
  <c r="K50"/>
  <c r="J50"/>
  <c r="M51"/>
  <c r="L51" s="1"/>
  <c r="K51"/>
  <c r="J51"/>
  <c r="L52"/>
  <c r="M52"/>
  <c r="K52"/>
  <c r="J52"/>
  <c r="M53"/>
  <c r="L53" s="1"/>
  <c r="K53"/>
  <c r="J53"/>
  <c r="M54"/>
  <c r="L54" s="1"/>
  <c r="K54"/>
  <c r="J54"/>
  <c r="M55"/>
  <c r="L55" s="1"/>
  <c r="K55"/>
  <c r="J55"/>
  <c r="L56"/>
  <c r="M56"/>
  <c r="K56"/>
  <c r="J56"/>
  <c r="M57"/>
  <c r="L57" s="1"/>
  <c r="K57"/>
  <c r="J57"/>
  <c r="M58"/>
  <c r="L58" s="1"/>
  <c r="K58"/>
  <c r="J58"/>
  <c r="M59"/>
  <c r="L59" s="1"/>
  <c r="K59"/>
  <c r="J59"/>
  <c r="L60"/>
  <c r="M60"/>
  <c r="K60"/>
  <c r="J60"/>
  <c r="M61"/>
  <c r="L61" s="1"/>
  <c r="K61"/>
  <c r="J61"/>
  <c r="M62"/>
  <c r="L62" s="1"/>
  <c r="K62"/>
  <c r="J62"/>
  <c r="M63"/>
  <c r="L63" s="1"/>
  <c r="K63"/>
  <c r="J63"/>
  <c r="M64"/>
  <c r="L64" s="1"/>
  <c r="K64"/>
  <c r="J64"/>
  <c r="M65"/>
  <c r="L65" s="1"/>
  <c r="K65"/>
  <c r="J65"/>
  <c r="M66"/>
  <c r="L66" s="1"/>
  <c r="K66"/>
  <c r="J66"/>
  <c r="M67"/>
  <c r="L67" s="1"/>
  <c r="K67"/>
  <c r="J67"/>
  <c r="M68"/>
  <c r="L68" s="1"/>
  <c r="K68"/>
  <c r="J68"/>
  <c r="M69"/>
  <c r="L69" s="1"/>
  <c r="K69"/>
  <c r="J69"/>
  <c r="M70"/>
  <c r="L70" s="1"/>
  <c r="K70"/>
  <c r="J70"/>
  <c r="M71"/>
  <c r="L71" s="1"/>
  <c r="K71"/>
  <c r="J71"/>
  <c r="M72"/>
  <c r="L72" s="1"/>
  <c r="K72"/>
  <c r="J72"/>
  <c r="M73"/>
  <c r="L73" s="1"/>
  <c r="K73"/>
  <c r="J73"/>
  <c r="L74"/>
  <c r="M74"/>
  <c r="K74"/>
  <c r="J74"/>
  <c r="M75"/>
  <c r="L75" s="1"/>
  <c r="K75"/>
  <c r="J75"/>
  <c r="M76"/>
  <c r="L76" s="1"/>
  <c r="K76"/>
  <c r="J76"/>
  <c r="M77"/>
  <c r="L77" s="1"/>
  <c r="K77"/>
  <c r="J77"/>
  <c r="M78"/>
  <c r="L78" s="1"/>
  <c r="K78"/>
  <c r="J78"/>
  <c r="M79"/>
  <c r="L79" s="1"/>
  <c r="K79"/>
  <c r="J79"/>
  <c r="M80"/>
  <c r="L80" s="1"/>
  <c r="K80"/>
  <c r="J80"/>
  <c r="M81"/>
  <c r="L81" s="1"/>
  <c r="K81"/>
  <c r="J81"/>
  <c r="M82"/>
  <c r="L82" s="1"/>
  <c r="K82"/>
  <c r="J82"/>
  <c r="M83"/>
  <c r="L83" s="1"/>
  <c r="K83"/>
  <c r="J83"/>
  <c r="M84"/>
  <c r="L84" s="1"/>
  <c r="K84"/>
  <c r="J84"/>
  <c r="M85"/>
  <c r="L85" s="1"/>
  <c r="K85"/>
  <c r="J85"/>
  <c r="M86"/>
  <c r="L86" s="1"/>
  <c r="K86"/>
  <c r="J86"/>
  <c r="M87"/>
  <c r="L87" s="1"/>
  <c r="K87"/>
  <c r="J87"/>
  <c r="M88"/>
  <c r="L88" s="1"/>
  <c r="K88"/>
  <c r="J88"/>
  <c r="M89"/>
  <c r="L89" s="1"/>
  <c r="K89"/>
  <c r="J89"/>
  <c r="L90"/>
  <c r="M90"/>
  <c r="K90"/>
  <c r="J90"/>
  <c r="M91"/>
  <c r="L91" s="1"/>
  <c r="K91"/>
  <c r="J91"/>
  <c r="M92"/>
  <c r="L92" s="1"/>
  <c r="K92"/>
  <c r="J92"/>
  <c r="M93"/>
  <c r="L93" s="1"/>
  <c r="K93"/>
  <c r="J93"/>
  <c r="M94"/>
  <c r="L94" s="1"/>
  <c r="K94"/>
  <c r="J94"/>
  <c r="M95"/>
  <c r="L95" s="1"/>
  <c r="K95"/>
  <c r="J95"/>
  <c r="M96"/>
  <c r="L96" s="1"/>
  <c r="K96"/>
  <c r="J96"/>
  <c r="M97"/>
  <c r="L97" s="1"/>
  <c r="K97"/>
  <c r="J97"/>
  <c r="M98"/>
  <c r="L98" s="1"/>
  <c r="K98"/>
  <c r="J98"/>
  <c r="M99"/>
  <c r="L99" s="1"/>
  <c r="K99"/>
  <c r="J99"/>
  <c r="M100"/>
  <c r="L100" s="1"/>
  <c r="K100"/>
  <c r="J100"/>
  <c r="M101"/>
  <c r="L101" s="1"/>
  <c r="K101"/>
  <c r="J101"/>
  <c r="M102"/>
  <c r="L102" s="1"/>
  <c r="K102"/>
  <c r="J102"/>
  <c r="M103"/>
  <c r="L103" s="1"/>
  <c r="K103"/>
  <c r="J103"/>
  <c r="M104"/>
  <c r="L104" s="1"/>
  <c r="K104"/>
  <c r="J104"/>
  <c r="M105"/>
  <c r="L105" s="1"/>
  <c r="K105"/>
  <c r="J105"/>
  <c r="L106"/>
  <c r="M106"/>
  <c r="K106"/>
  <c r="J106"/>
  <c r="M107"/>
  <c r="L107" s="1"/>
  <c r="K107"/>
  <c r="J107"/>
  <c r="M108"/>
  <c r="L108" s="1"/>
  <c r="K108"/>
  <c r="J108"/>
  <c r="M109"/>
  <c r="L109" s="1"/>
  <c r="K109"/>
  <c r="J109"/>
  <c r="M110"/>
  <c r="L110" s="1"/>
  <c r="K110"/>
  <c r="J110"/>
  <c r="M111"/>
  <c r="L111" s="1"/>
  <c r="K111"/>
  <c r="J111"/>
  <c r="M112"/>
  <c r="L112" s="1"/>
  <c r="K112"/>
  <c r="J112"/>
  <c r="M113"/>
  <c r="L113" s="1"/>
  <c r="K113"/>
  <c r="J113"/>
  <c r="M114"/>
  <c r="L114" s="1"/>
  <c r="K114"/>
  <c r="J114"/>
  <c r="M115"/>
  <c r="L115" s="1"/>
  <c r="K115"/>
  <c r="J115"/>
  <c r="M116"/>
  <c r="L116" s="1"/>
  <c r="K116"/>
  <c r="J116"/>
  <c r="M117"/>
  <c r="L117" s="1"/>
  <c r="K117"/>
  <c r="J117"/>
  <c r="M118"/>
  <c r="L118" s="1"/>
  <c r="K118"/>
  <c r="J118"/>
  <c r="M119"/>
  <c r="L119" s="1"/>
  <c r="K119"/>
  <c r="J119"/>
  <c r="M120"/>
  <c r="L120" s="1"/>
  <c r="K120"/>
  <c r="J120"/>
  <c r="M121"/>
  <c r="L121" s="1"/>
  <c r="K121"/>
  <c r="J121"/>
  <c r="L122"/>
  <c r="M122"/>
  <c r="K122"/>
  <c r="J122"/>
  <c r="M123"/>
  <c r="L123" s="1"/>
  <c r="K123"/>
  <c r="J123"/>
  <c r="M124"/>
  <c r="L124" s="1"/>
  <c r="K124"/>
  <c r="J124"/>
  <c r="M125"/>
  <c r="L125" s="1"/>
  <c r="K125"/>
  <c r="J125"/>
  <c r="M126"/>
  <c r="L126" s="1"/>
  <c r="K126"/>
  <c r="J126"/>
  <c r="M127"/>
  <c r="L127" s="1"/>
  <c r="K127"/>
  <c r="J127"/>
  <c r="M128"/>
  <c r="L128" s="1"/>
  <c r="K128"/>
  <c r="J128"/>
  <c r="L129"/>
  <c r="M129"/>
  <c r="K129"/>
  <c r="J129"/>
  <c r="M130"/>
  <c r="L130" s="1"/>
  <c r="K130"/>
  <c r="J130"/>
  <c r="M131"/>
  <c r="L131" s="1"/>
  <c r="K131"/>
  <c r="J131"/>
  <c r="M132"/>
  <c r="L132" s="1"/>
  <c r="K132"/>
  <c r="J132"/>
  <c r="M133"/>
  <c r="L133" s="1"/>
  <c r="K133"/>
  <c r="J133"/>
  <c r="M134"/>
  <c r="L134" s="1"/>
  <c r="K134"/>
  <c r="J134"/>
  <c r="M135"/>
  <c r="L135" s="1"/>
  <c r="K135"/>
  <c r="J135"/>
  <c r="M136"/>
  <c r="L136" s="1"/>
  <c r="K136"/>
  <c r="J136"/>
  <c r="M137"/>
  <c r="L137" s="1"/>
  <c r="K137"/>
  <c r="J137"/>
  <c r="M138"/>
  <c r="L138" s="1"/>
  <c r="K138"/>
  <c r="J138"/>
  <c r="M139"/>
  <c r="L139" s="1"/>
  <c r="K139"/>
  <c r="J139"/>
  <c r="M140"/>
  <c r="L140" s="1"/>
  <c r="K140"/>
  <c r="J140"/>
  <c r="M141"/>
  <c r="L141" s="1"/>
  <c r="K141"/>
  <c r="J141"/>
  <c r="M142"/>
  <c r="L142" s="1"/>
  <c r="K142"/>
  <c r="J142"/>
  <c r="M143"/>
  <c r="L143" s="1"/>
  <c r="K143"/>
  <c r="J143"/>
  <c r="M144"/>
  <c r="L144" s="1"/>
  <c r="K144"/>
  <c r="J144"/>
  <c r="M145"/>
  <c r="L145" s="1"/>
  <c r="K145"/>
  <c r="J145"/>
  <c r="M146"/>
  <c r="L146" s="1"/>
  <c r="K146"/>
  <c r="J146"/>
  <c r="M147"/>
  <c r="L147" s="1"/>
  <c r="K147"/>
  <c r="J147"/>
  <c r="M148"/>
  <c r="L148" s="1"/>
  <c r="K148"/>
  <c r="J148"/>
  <c r="M149"/>
  <c r="L149" s="1"/>
  <c r="K149"/>
  <c r="J149"/>
  <c r="M150"/>
  <c r="L150" s="1"/>
  <c r="K150"/>
  <c r="J150"/>
  <c r="M151"/>
  <c r="L151" s="1"/>
  <c r="K151"/>
  <c r="J151"/>
  <c r="M152"/>
  <c r="L152" s="1"/>
  <c r="K152"/>
  <c r="J152"/>
  <c r="M153"/>
  <c r="L153" s="1"/>
  <c r="K153"/>
  <c r="J153"/>
  <c r="M154"/>
  <c r="L154" s="1"/>
  <c r="K154"/>
  <c r="J154"/>
  <c r="M155"/>
  <c r="L155" s="1"/>
  <c r="K155"/>
  <c r="J155"/>
  <c r="M156"/>
  <c r="L156" s="1"/>
  <c r="K156"/>
  <c r="J156"/>
  <c r="M157"/>
  <c r="L157" s="1"/>
  <c r="K157"/>
  <c r="J157"/>
  <c r="M158"/>
  <c r="L158" s="1"/>
  <c r="K158"/>
  <c r="J158"/>
  <c r="M159"/>
  <c r="L159" s="1"/>
  <c r="K159"/>
  <c r="J159"/>
  <c r="M160"/>
  <c r="L160" s="1"/>
  <c r="K160"/>
  <c r="J160"/>
  <c r="L161"/>
  <c r="M161"/>
  <c r="K161"/>
  <c r="J161"/>
  <c r="M162"/>
  <c r="L162" s="1"/>
  <c r="K162"/>
  <c r="J162"/>
  <c r="M163"/>
  <c r="L163" s="1"/>
  <c r="K163"/>
  <c r="J163"/>
  <c r="M164"/>
  <c r="L164" s="1"/>
  <c r="K164"/>
  <c r="J164"/>
  <c r="M165"/>
  <c r="L165" s="1"/>
  <c r="K165"/>
  <c r="J165"/>
  <c r="M166"/>
  <c r="L166" s="1"/>
  <c r="K166"/>
  <c r="J166"/>
  <c r="M167"/>
  <c r="L167" s="1"/>
  <c r="K167"/>
  <c r="J167"/>
  <c r="M168"/>
  <c r="L168" s="1"/>
  <c r="K168"/>
  <c r="J168"/>
  <c r="M169"/>
  <c r="L169" s="1"/>
  <c r="K169"/>
  <c r="J169"/>
  <c r="M170"/>
  <c r="L170" s="1"/>
  <c r="K170"/>
  <c r="J170"/>
  <c r="M171"/>
  <c r="L171" s="1"/>
  <c r="K171"/>
  <c r="J171"/>
  <c r="M172"/>
  <c r="L172" s="1"/>
  <c r="K172"/>
  <c r="J172"/>
  <c r="M173"/>
  <c r="L173" s="1"/>
  <c r="K173"/>
  <c r="J173"/>
  <c r="M174"/>
  <c r="L174" s="1"/>
  <c r="K174"/>
  <c r="J174"/>
  <c r="M175"/>
  <c r="L175" s="1"/>
  <c r="K175"/>
  <c r="J175"/>
  <c r="M176"/>
  <c r="L176" s="1"/>
  <c r="K176"/>
  <c r="J176"/>
  <c r="M177"/>
  <c r="L177" s="1"/>
  <c r="K177"/>
  <c r="J177"/>
  <c r="M178"/>
  <c r="L178" s="1"/>
  <c r="K178"/>
  <c r="J178"/>
  <c r="M179"/>
  <c r="L179" s="1"/>
  <c r="K179"/>
  <c r="J179"/>
  <c r="M180"/>
  <c r="L180" s="1"/>
  <c r="K180"/>
  <c r="J180"/>
  <c r="M181"/>
  <c r="L181" s="1"/>
  <c r="K181"/>
  <c r="J181"/>
  <c r="M182"/>
  <c r="L182" s="1"/>
  <c r="K182"/>
  <c r="J182"/>
  <c r="M183"/>
  <c r="L183" s="1"/>
  <c r="K183"/>
  <c r="J183"/>
  <c r="M184"/>
  <c r="L184" s="1"/>
  <c r="K184"/>
  <c r="J184"/>
  <c r="H37" i="4"/>
  <c r="M185" i="2"/>
  <c r="L185" s="1"/>
  <c r="K185"/>
  <c r="J185"/>
  <c r="M186"/>
  <c r="L186" s="1"/>
  <c r="K186"/>
  <c r="J186"/>
  <c r="M187"/>
  <c r="L187" s="1"/>
  <c r="K187"/>
  <c r="J187"/>
  <c r="M188"/>
  <c r="L188" s="1"/>
  <c r="K188"/>
  <c r="J188"/>
  <c r="M189"/>
  <c r="L189" s="1"/>
  <c r="K189"/>
  <c r="J189"/>
  <c r="M190"/>
  <c r="L190" s="1"/>
  <c r="K190"/>
  <c r="J190"/>
  <c r="M191"/>
  <c r="L191" s="1"/>
  <c r="K191"/>
  <c r="J191"/>
  <c r="M192"/>
  <c r="L192" s="1"/>
  <c r="K192"/>
  <c r="J192"/>
  <c r="M193"/>
  <c r="L193" s="1"/>
  <c r="K193"/>
  <c r="J193"/>
  <c r="M194"/>
  <c r="L194" s="1"/>
  <c r="K194"/>
  <c r="J194"/>
  <c r="M195"/>
  <c r="L195" s="1"/>
  <c r="K195"/>
  <c r="J195"/>
  <c r="M196"/>
  <c r="L196" s="1"/>
  <c r="K196"/>
  <c r="J196"/>
  <c r="M197"/>
  <c r="L197" s="1"/>
  <c r="K197"/>
  <c r="J197"/>
  <c r="M198"/>
  <c r="L198" s="1"/>
  <c r="K198"/>
  <c r="J198"/>
  <c r="M199"/>
  <c r="L199" s="1"/>
  <c r="K199"/>
  <c r="J199"/>
  <c r="M200"/>
  <c r="L200" s="1"/>
  <c r="K200"/>
  <c r="J200"/>
  <c r="M201"/>
  <c r="L201" s="1"/>
  <c r="K201"/>
  <c r="J201"/>
  <c r="M202"/>
  <c r="L202" s="1"/>
  <c r="K202"/>
  <c r="J202"/>
  <c r="M203"/>
  <c r="L203" s="1"/>
  <c r="K203"/>
  <c r="J203"/>
  <c r="M204"/>
  <c r="L204" s="1"/>
  <c r="K204"/>
  <c r="J204"/>
  <c r="M205"/>
  <c r="L205" s="1"/>
  <c r="K205"/>
  <c r="J205"/>
  <c r="M206"/>
  <c r="L206" s="1"/>
  <c r="K206"/>
  <c r="J206"/>
  <c r="M207"/>
  <c r="L207" s="1"/>
  <c r="K207"/>
  <c r="J207"/>
  <c r="M208"/>
  <c r="L208" s="1"/>
  <c r="K208"/>
  <c r="J208"/>
  <c r="M209"/>
  <c r="L209" s="1"/>
  <c r="K209"/>
  <c r="J209"/>
  <c r="M210"/>
  <c r="L210" s="1"/>
  <c r="K210"/>
  <c r="J210"/>
  <c r="M211"/>
  <c r="L211" s="1"/>
  <c r="K211"/>
  <c r="J211"/>
  <c r="M212"/>
  <c r="L212" s="1"/>
  <c r="K212"/>
  <c r="J212"/>
  <c r="M213"/>
  <c r="L213" s="1"/>
  <c r="K213"/>
  <c r="J213"/>
  <c r="M214"/>
  <c r="L214" s="1"/>
  <c r="K214"/>
  <c r="J214"/>
  <c r="M215"/>
  <c r="L215" s="1"/>
  <c r="K215"/>
  <c r="J215"/>
  <c r="M216"/>
  <c r="L216" s="1"/>
  <c r="K216"/>
  <c r="J216"/>
  <c r="M217"/>
  <c r="L217" s="1"/>
  <c r="K217"/>
  <c r="J217"/>
  <c r="M218"/>
  <c r="L218" s="1"/>
  <c r="K218"/>
  <c r="J218"/>
  <c r="M219"/>
  <c r="L219" s="1"/>
  <c r="K219"/>
  <c r="J219"/>
  <c r="M220"/>
  <c r="L220" s="1"/>
  <c r="K220"/>
  <c r="J220"/>
  <c r="M221"/>
  <c r="L221" s="1"/>
  <c r="K221"/>
  <c r="J221"/>
  <c r="M222"/>
  <c r="L222" s="1"/>
  <c r="K222"/>
  <c r="J222"/>
  <c r="M223"/>
  <c r="L223" s="1"/>
  <c r="K223"/>
  <c r="J223"/>
  <c r="M224"/>
  <c r="L224" s="1"/>
  <c r="K224"/>
  <c r="J224"/>
  <c r="M225"/>
  <c r="L225" s="1"/>
  <c r="K225"/>
  <c r="J225"/>
  <c r="M226"/>
  <c r="L226" s="1"/>
  <c r="K226"/>
  <c r="J226"/>
  <c r="M227"/>
  <c r="L227" s="1"/>
  <c r="K227"/>
  <c r="J227"/>
  <c r="M228"/>
  <c r="L228" s="1"/>
  <c r="K228"/>
  <c r="J228"/>
  <c r="M229"/>
  <c r="L229" s="1"/>
  <c r="K229"/>
  <c r="J229"/>
  <c r="M230"/>
  <c r="L230" s="1"/>
  <c r="K230"/>
  <c r="J230"/>
  <c r="M231"/>
  <c r="L231" s="1"/>
  <c r="K231"/>
  <c r="J231"/>
  <c r="M232"/>
  <c r="L232" s="1"/>
  <c r="K232"/>
  <c r="J232"/>
  <c r="M233"/>
  <c r="L233" s="1"/>
  <c r="K233"/>
  <c r="J233"/>
  <c r="M234"/>
  <c r="L234" s="1"/>
  <c r="K234"/>
  <c r="J234"/>
  <c r="M235"/>
  <c r="L235" s="1"/>
  <c r="K235"/>
  <c r="J235"/>
  <c r="M236"/>
  <c r="L236" s="1"/>
  <c r="K236"/>
  <c r="J236"/>
  <c r="M237"/>
  <c r="L237" s="1"/>
  <c r="K237"/>
  <c r="J237"/>
  <c r="M238"/>
  <c r="L238" s="1"/>
  <c r="K238"/>
  <c r="J238"/>
  <c r="M239"/>
  <c r="L239" s="1"/>
  <c r="K239"/>
  <c r="J239"/>
  <c r="M240"/>
  <c r="L240" s="1"/>
  <c r="K240"/>
  <c r="J240"/>
  <c r="M241"/>
  <c r="L241" s="1"/>
  <c r="K241"/>
  <c r="J241"/>
  <c r="M242"/>
  <c r="L242" s="1"/>
  <c r="K242"/>
  <c r="J242"/>
  <c r="M243"/>
  <c r="L243" s="1"/>
  <c r="K243"/>
  <c r="J243"/>
  <c r="M244"/>
  <c r="L244" s="1"/>
  <c r="K244"/>
  <c r="J244"/>
  <c r="M245"/>
  <c r="L245" s="1"/>
  <c r="K245"/>
  <c r="J245"/>
  <c r="M246"/>
  <c r="L246" s="1"/>
  <c r="K246"/>
  <c r="J246"/>
  <c r="M247"/>
  <c r="L247" s="1"/>
  <c r="K247"/>
  <c r="J247"/>
  <c r="M248"/>
  <c r="L248" s="1"/>
  <c r="K248"/>
  <c r="J248"/>
  <c r="M249"/>
  <c r="L249" s="1"/>
  <c r="K249"/>
  <c r="J249"/>
  <c r="M250"/>
  <c r="L250" s="1"/>
  <c r="K250"/>
  <c r="J250"/>
  <c r="M251"/>
  <c r="L251" s="1"/>
  <c r="K251"/>
  <c r="J251"/>
  <c r="M252"/>
  <c r="L252" s="1"/>
  <c r="K252"/>
  <c r="J252"/>
  <c r="M253"/>
  <c r="L253" s="1"/>
  <c r="K253"/>
  <c r="J253"/>
  <c r="M254"/>
  <c r="L254" s="1"/>
  <c r="K254"/>
  <c r="J254"/>
  <c r="M255"/>
  <c r="L255" s="1"/>
  <c r="K255"/>
  <c r="J255"/>
  <c r="M256"/>
  <c r="L256" s="1"/>
  <c r="K256"/>
  <c r="J256"/>
  <c r="M257"/>
  <c r="L257" s="1"/>
  <c r="K257"/>
  <c r="J257"/>
  <c r="M258"/>
  <c r="L258" s="1"/>
  <c r="K258"/>
  <c r="J258"/>
  <c r="M259"/>
  <c r="L259" s="1"/>
  <c r="K259"/>
  <c r="J259"/>
  <c r="M260"/>
  <c r="L260" s="1"/>
  <c r="K260"/>
  <c r="J260"/>
  <c r="M261"/>
  <c r="L261" s="1"/>
  <c r="K261"/>
  <c r="J261"/>
  <c r="M262"/>
  <c r="L262" s="1"/>
  <c r="K262"/>
  <c r="J262"/>
  <c r="M263"/>
  <c r="L263" s="1"/>
  <c r="K263"/>
  <c r="J263"/>
  <c r="M264"/>
  <c r="L264" s="1"/>
  <c r="K264"/>
  <c r="J264"/>
  <c r="M265"/>
  <c r="L265" s="1"/>
  <c r="K265"/>
  <c r="J265"/>
  <c r="M266"/>
  <c r="L266" s="1"/>
  <c r="K266"/>
  <c r="J266"/>
  <c r="M267"/>
  <c r="L267" s="1"/>
  <c r="K267"/>
  <c r="J267"/>
  <c r="M268"/>
  <c r="L268" s="1"/>
  <c r="K268"/>
  <c r="J268"/>
  <c r="M269"/>
  <c r="L269" s="1"/>
  <c r="K269"/>
  <c r="J269"/>
  <c r="M270"/>
  <c r="L270" s="1"/>
  <c r="K270"/>
  <c r="J270"/>
  <c r="M271"/>
  <c r="L271" s="1"/>
  <c r="K271"/>
  <c r="J271"/>
  <c r="M272"/>
  <c r="L272" s="1"/>
  <c r="K272"/>
  <c r="J272"/>
  <c r="M273"/>
  <c r="L273" s="1"/>
  <c r="K273"/>
  <c r="J273"/>
  <c r="M274"/>
  <c r="L274" s="1"/>
  <c r="K274"/>
  <c r="J274"/>
  <c r="M275"/>
  <c r="L275" s="1"/>
  <c r="K275"/>
  <c r="J275"/>
  <c r="M276"/>
  <c r="L276" s="1"/>
  <c r="K276"/>
  <c r="J276"/>
  <c r="M277"/>
  <c r="L277" s="1"/>
  <c r="K277"/>
  <c r="J277"/>
  <c r="M278"/>
  <c r="L278" s="1"/>
  <c r="K278"/>
  <c r="J278"/>
  <c r="M279"/>
  <c r="L279" s="1"/>
  <c r="K279"/>
  <c r="J279"/>
  <c r="M280"/>
  <c r="L280" s="1"/>
  <c r="K280"/>
  <c r="J280"/>
  <c r="M281"/>
  <c r="L281" s="1"/>
  <c r="K281"/>
  <c r="J281"/>
  <c r="M282"/>
  <c r="L282" s="1"/>
  <c r="K282"/>
  <c r="J282"/>
  <c r="M283"/>
  <c r="L283" s="1"/>
  <c r="K283"/>
  <c r="J283"/>
  <c r="M284"/>
  <c r="L284" s="1"/>
  <c r="K284"/>
  <c r="J284"/>
  <c r="M285"/>
  <c r="L285" s="1"/>
  <c r="K285"/>
  <c r="J285"/>
  <c r="M286"/>
  <c r="L286" s="1"/>
  <c r="K286"/>
  <c r="J286"/>
  <c r="M287"/>
  <c r="L287" s="1"/>
  <c r="K287"/>
  <c r="J287"/>
  <c r="M288"/>
  <c r="L288" s="1"/>
  <c r="K288"/>
  <c r="J288"/>
  <c r="M289"/>
  <c r="L289" s="1"/>
  <c r="K289"/>
  <c r="J289"/>
  <c r="M290"/>
  <c r="L290" s="1"/>
  <c r="K290"/>
  <c r="J290"/>
  <c r="M291"/>
  <c r="L291" s="1"/>
  <c r="K291"/>
  <c r="J291"/>
  <c r="M292"/>
  <c r="L292" s="1"/>
  <c r="K292"/>
  <c r="J292"/>
  <c r="M293"/>
  <c r="L293" s="1"/>
  <c r="K293"/>
  <c r="J293"/>
  <c r="M294"/>
  <c r="L294" s="1"/>
  <c r="K294"/>
  <c r="J294"/>
  <c r="M295"/>
  <c r="L295" s="1"/>
  <c r="K295"/>
  <c r="J295"/>
  <c r="M296"/>
  <c r="L296" s="1"/>
  <c r="K296"/>
  <c r="J296"/>
  <c r="M297"/>
  <c r="L297" s="1"/>
  <c r="K297"/>
  <c r="J297"/>
  <c r="M298"/>
  <c r="L298" s="1"/>
  <c r="K298"/>
  <c r="J298"/>
  <c r="M299"/>
  <c r="L299" s="1"/>
  <c r="K299"/>
  <c r="J299"/>
  <c r="M300"/>
  <c r="L300" s="1"/>
  <c r="K300"/>
  <c r="J300"/>
  <c r="M301"/>
  <c r="L301" s="1"/>
  <c r="K301"/>
  <c r="J301"/>
  <c r="M302"/>
  <c r="L302" s="1"/>
  <c r="K302"/>
  <c r="J302"/>
  <c r="M303"/>
  <c r="L303" s="1"/>
  <c r="K303"/>
  <c r="J303"/>
  <c r="M304"/>
  <c r="L304" s="1"/>
  <c r="K304"/>
  <c r="J304"/>
  <c r="M305"/>
  <c r="L305" s="1"/>
  <c r="K305"/>
  <c r="J305"/>
  <c r="M306"/>
  <c r="L306" s="1"/>
  <c r="K306"/>
  <c r="J306"/>
  <c r="M307"/>
  <c r="L307" s="1"/>
  <c r="K307"/>
  <c r="J307"/>
  <c r="M308"/>
  <c r="L308" s="1"/>
  <c r="K308"/>
  <c r="J308"/>
  <c r="M309"/>
  <c r="L309" s="1"/>
  <c r="K309"/>
  <c r="J309"/>
  <c r="M310"/>
  <c r="L310" s="1"/>
  <c r="K310"/>
  <c r="J310"/>
  <c r="M311"/>
  <c r="L311" s="1"/>
  <c r="K311"/>
  <c r="J311"/>
  <c r="M312"/>
  <c r="L312" s="1"/>
  <c r="K312"/>
  <c r="J312"/>
  <c r="M313"/>
  <c r="L313" s="1"/>
  <c r="K313"/>
  <c r="J313"/>
  <c r="M314"/>
  <c r="L314" s="1"/>
  <c r="K314"/>
  <c r="J314"/>
  <c r="M315"/>
  <c r="L315" s="1"/>
  <c r="K315"/>
  <c r="J315"/>
  <c r="M316"/>
  <c r="L316" s="1"/>
  <c r="K316"/>
  <c r="J316"/>
  <c r="M317"/>
  <c r="L317" s="1"/>
  <c r="K317"/>
  <c r="J317"/>
  <c r="M318"/>
  <c r="L318" s="1"/>
  <c r="K318"/>
  <c r="J318"/>
  <c r="M319"/>
  <c r="L319" s="1"/>
  <c r="K319"/>
  <c r="J319"/>
  <c r="M320"/>
  <c r="L320" s="1"/>
  <c r="K320"/>
  <c r="J320"/>
  <c r="M321"/>
  <c r="L321" s="1"/>
  <c r="K321"/>
  <c r="J321"/>
  <c r="M322"/>
  <c r="L322" s="1"/>
  <c r="K322"/>
  <c r="J322"/>
  <c r="M323"/>
  <c r="L323" s="1"/>
  <c r="K323"/>
  <c r="J323"/>
  <c r="M324"/>
  <c r="L324" s="1"/>
  <c r="K324"/>
  <c r="J324"/>
  <c r="M325"/>
  <c r="L325" s="1"/>
  <c r="K325"/>
  <c r="J325"/>
  <c r="M326"/>
  <c r="L326" s="1"/>
  <c r="K326"/>
  <c r="J326"/>
  <c r="M327"/>
  <c r="L327" s="1"/>
  <c r="K327"/>
  <c r="J327"/>
  <c r="M328"/>
  <c r="L328" s="1"/>
  <c r="K328"/>
  <c r="J328"/>
  <c r="M329"/>
  <c r="L329" s="1"/>
  <c r="K329"/>
  <c r="J329"/>
  <c r="M330"/>
  <c r="L330" s="1"/>
  <c r="K330"/>
  <c r="J330"/>
  <c r="M331"/>
  <c r="L331" s="1"/>
  <c r="K331"/>
  <c r="J331"/>
  <c r="M332"/>
  <c r="L332" s="1"/>
  <c r="K332"/>
  <c r="J332"/>
  <c r="M333"/>
  <c r="L333" s="1"/>
  <c r="K333"/>
  <c r="J333"/>
  <c r="M334"/>
  <c r="L334" s="1"/>
  <c r="K334"/>
  <c r="J334"/>
  <c r="M335"/>
  <c r="L335" s="1"/>
  <c r="K335"/>
  <c r="J335"/>
  <c r="M336"/>
  <c r="L336" s="1"/>
  <c r="K336"/>
  <c r="J336"/>
  <c r="M337"/>
  <c r="L337" s="1"/>
  <c r="K337"/>
  <c r="J337"/>
  <c r="M338"/>
  <c r="L338" s="1"/>
  <c r="K338"/>
  <c r="J338"/>
  <c r="M339"/>
  <c r="L339" s="1"/>
  <c r="K339"/>
  <c r="J339"/>
  <c r="M340"/>
  <c r="L340" s="1"/>
  <c r="K340"/>
  <c r="J340"/>
  <c r="M341"/>
  <c r="L341" s="1"/>
  <c r="K341"/>
  <c r="J341"/>
  <c r="M342"/>
  <c r="L342" s="1"/>
  <c r="K342"/>
  <c r="J342"/>
  <c r="M343"/>
  <c r="L343" s="1"/>
  <c r="K343"/>
  <c r="J343"/>
  <c r="M344"/>
  <c r="L344" s="1"/>
  <c r="K344"/>
  <c r="J344"/>
  <c r="M345"/>
  <c r="L345" s="1"/>
  <c r="K345"/>
  <c r="J345"/>
  <c r="M346"/>
  <c r="L346" s="1"/>
  <c r="K346"/>
  <c r="J346"/>
  <c r="M347"/>
  <c r="L347" s="1"/>
  <c r="K347"/>
  <c r="J347"/>
  <c r="M348"/>
  <c r="L348" s="1"/>
  <c r="K348"/>
  <c r="J348"/>
  <c r="M349"/>
  <c r="L349" s="1"/>
  <c r="K349"/>
  <c r="J349"/>
  <c r="M350"/>
  <c r="L350" s="1"/>
  <c r="K350"/>
  <c r="J350"/>
  <c r="M351"/>
  <c r="L351" s="1"/>
  <c r="K351"/>
  <c r="J351"/>
  <c r="M352"/>
  <c r="L352" s="1"/>
  <c r="K352"/>
  <c r="J352"/>
  <c r="M353"/>
  <c r="L353" s="1"/>
  <c r="K353"/>
  <c r="J353"/>
  <c r="M354"/>
  <c r="L354" s="1"/>
  <c r="K354"/>
  <c r="J354"/>
  <c r="M355"/>
  <c r="L355" s="1"/>
  <c r="K355"/>
  <c r="J355"/>
  <c r="M356"/>
  <c r="L356" s="1"/>
  <c r="K356"/>
  <c r="J356"/>
  <c r="H37" i="17"/>
  <c r="M357" i="2"/>
  <c r="L357" s="1"/>
  <c r="K357"/>
  <c r="J357"/>
  <c r="M358"/>
  <c r="L358" s="1"/>
  <c r="K358"/>
  <c r="J358"/>
  <c r="M359"/>
  <c r="L359" s="1"/>
  <c r="K359"/>
  <c r="J359"/>
  <c r="M360"/>
  <c r="L360" s="1"/>
  <c r="K360"/>
  <c r="J360"/>
  <c r="M361"/>
  <c r="L361" s="1"/>
  <c r="K361"/>
  <c r="J361"/>
  <c r="M362"/>
  <c r="L362" s="1"/>
  <c r="K362"/>
  <c r="J362"/>
  <c r="M363"/>
  <c r="L363" s="1"/>
  <c r="K363"/>
  <c r="J363"/>
  <c r="M364"/>
  <c r="L364" s="1"/>
  <c r="K364"/>
  <c r="J364"/>
  <c r="M365"/>
  <c r="L365" s="1"/>
  <c r="K365"/>
  <c r="J365"/>
  <c r="M366"/>
  <c r="L366" s="1"/>
  <c r="K366"/>
  <c r="J366"/>
  <c r="M367"/>
  <c r="L367" s="1"/>
  <c r="K367"/>
  <c r="J367"/>
  <c r="M368"/>
  <c r="L368" s="1"/>
  <c r="K368"/>
  <c r="J368"/>
  <c r="M369"/>
  <c r="L369" s="1"/>
  <c r="K369"/>
  <c r="J369"/>
  <c r="M370"/>
  <c r="L370" s="1"/>
  <c r="K370"/>
  <c r="J370"/>
  <c r="M371"/>
  <c r="L371" s="1"/>
  <c r="K371"/>
  <c r="J371"/>
  <c r="M372"/>
  <c r="L372" s="1"/>
  <c r="K372"/>
  <c r="J372"/>
  <c r="M373"/>
  <c r="L373" s="1"/>
  <c r="K373"/>
  <c r="J373"/>
  <c r="M374"/>
  <c r="L374" s="1"/>
  <c r="K374"/>
  <c r="J374"/>
  <c r="M375"/>
  <c r="L375" s="1"/>
  <c r="K375"/>
  <c r="J375"/>
  <c r="M376"/>
  <c r="L376" s="1"/>
  <c r="K376"/>
  <c r="J376"/>
  <c r="M377"/>
  <c r="L377" s="1"/>
  <c r="K377"/>
  <c r="J377"/>
  <c r="M378"/>
  <c r="L378" s="1"/>
  <c r="K378"/>
  <c r="J378"/>
  <c r="M379"/>
  <c r="L379" s="1"/>
  <c r="K379"/>
  <c r="J379"/>
  <c r="M380"/>
  <c r="L380" s="1"/>
  <c r="K380"/>
  <c r="J380"/>
  <c r="M381"/>
  <c r="L381" s="1"/>
  <c r="K381"/>
  <c r="J381"/>
  <c r="M382"/>
  <c r="L382" s="1"/>
  <c r="K382"/>
  <c r="J382"/>
  <c r="M383"/>
  <c r="L383" s="1"/>
  <c r="K383"/>
  <c r="J383"/>
  <c r="M384"/>
  <c r="L384" s="1"/>
  <c r="K384"/>
  <c r="J384"/>
  <c r="M385"/>
  <c r="L385" s="1"/>
  <c r="K385"/>
  <c r="J385"/>
  <c r="M386"/>
  <c r="L386" s="1"/>
  <c r="K386"/>
  <c r="J386"/>
  <c r="M387"/>
  <c r="L387" s="1"/>
  <c r="K387"/>
  <c r="J387"/>
  <c r="M388"/>
  <c r="L388" s="1"/>
  <c r="K388"/>
  <c r="J388"/>
  <c r="M389"/>
  <c r="L389" s="1"/>
  <c r="K389"/>
  <c r="J389"/>
  <c r="M390"/>
  <c r="L390" s="1"/>
  <c r="K390"/>
  <c r="J390"/>
  <c r="M391"/>
  <c r="L391" s="1"/>
  <c r="K391"/>
  <c r="J391"/>
  <c r="M392"/>
  <c r="L392" s="1"/>
  <c r="K392"/>
  <c r="J392"/>
  <c r="M393"/>
  <c r="L393" s="1"/>
  <c r="K393"/>
  <c r="J393"/>
  <c r="M394"/>
  <c r="L394" s="1"/>
  <c r="K394"/>
  <c r="J394"/>
  <c r="M395"/>
  <c r="L395" s="1"/>
  <c r="K395"/>
  <c r="J395"/>
  <c r="M396"/>
  <c r="L396" s="1"/>
  <c r="K396"/>
  <c r="J396"/>
  <c r="M397"/>
  <c r="L397" s="1"/>
  <c r="K397"/>
  <c r="J397"/>
  <c r="M398"/>
  <c r="L398" s="1"/>
  <c r="K398"/>
  <c r="J398"/>
  <c r="M399"/>
  <c r="L399" s="1"/>
  <c r="K399"/>
  <c r="J399"/>
  <c r="M400"/>
  <c r="L400" s="1"/>
  <c r="K400"/>
  <c r="J400"/>
  <c r="M401"/>
  <c r="L401" s="1"/>
  <c r="K401"/>
  <c r="J401"/>
  <c r="M402"/>
  <c r="L402" s="1"/>
  <c r="K402"/>
  <c r="J402"/>
  <c r="M403"/>
  <c r="L403" s="1"/>
  <c r="K403"/>
  <c r="J403"/>
  <c r="M404"/>
  <c r="L404" s="1"/>
  <c r="K404"/>
  <c r="J404"/>
  <c r="M405"/>
  <c r="L405" s="1"/>
  <c r="K405"/>
  <c r="J405"/>
  <c r="M406"/>
  <c r="L406" s="1"/>
  <c r="K406"/>
  <c r="J406"/>
  <c r="M407"/>
  <c r="L407" s="1"/>
  <c r="K407"/>
  <c r="J407"/>
  <c r="M408"/>
  <c r="L408" s="1"/>
  <c r="K408"/>
  <c r="J408"/>
  <c r="M409"/>
  <c r="L409" s="1"/>
  <c r="K409"/>
  <c r="J409"/>
  <c r="M410"/>
  <c r="L410" s="1"/>
  <c r="K410"/>
  <c r="J410"/>
  <c r="M411"/>
  <c r="L411" s="1"/>
  <c r="K411"/>
  <c r="J411"/>
  <c r="M412"/>
  <c r="L412" s="1"/>
  <c r="K412"/>
  <c r="J412"/>
  <c r="M413"/>
  <c r="L413" s="1"/>
  <c r="K413"/>
  <c r="J413"/>
  <c r="M414"/>
  <c r="L414" s="1"/>
  <c r="K414"/>
  <c r="J414"/>
  <c r="M415"/>
  <c r="L415" s="1"/>
  <c r="K415"/>
  <c r="J415"/>
  <c r="M416"/>
  <c r="L416" s="1"/>
  <c r="K416"/>
  <c r="J416"/>
  <c r="M417"/>
  <c r="L417" s="1"/>
  <c r="K417"/>
  <c r="J417"/>
  <c r="M418"/>
  <c r="L418" s="1"/>
  <c r="K418"/>
  <c r="J418"/>
  <c r="M419"/>
  <c r="L419" s="1"/>
  <c r="K419"/>
  <c r="J419"/>
  <c r="M420"/>
  <c r="L420" s="1"/>
  <c r="K420"/>
  <c r="J420"/>
  <c r="M421"/>
  <c r="L421" s="1"/>
  <c r="K421"/>
  <c r="J421"/>
  <c r="M422"/>
  <c r="L422" s="1"/>
  <c r="K422"/>
  <c r="J422"/>
  <c r="M423"/>
  <c r="L423" s="1"/>
  <c r="K423"/>
  <c r="J423"/>
  <c r="M424"/>
  <c r="L424" s="1"/>
  <c r="K424"/>
  <c r="J424"/>
  <c r="M425"/>
  <c r="L425" s="1"/>
  <c r="K425"/>
  <c r="J425"/>
  <c r="M426"/>
  <c r="L426" s="1"/>
  <c r="K426"/>
  <c r="J426"/>
  <c r="M427"/>
  <c r="L427" s="1"/>
  <c r="K427"/>
  <c r="J427"/>
  <c r="M428"/>
  <c r="L428" s="1"/>
  <c r="K428"/>
  <c r="J428"/>
  <c r="M429"/>
  <c r="L429" s="1"/>
  <c r="K429"/>
  <c r="J429"/>
  <c r="M430"/>
  <c r="L430" s="1"/>
  <c r="K430"/>
  <c r="J430"/>
  <c r="M431"/>
  <c r="L431" s="1"/>
  <c r="K431"/>
  <c r="J431"/>
  <c r="M432"/>
  <c r="L432" s="1"/>
  <c r="K432"/>
  <c r="J432"/>
  <c r="M433"/>
  <c r="L433" s="1"/>
  <c r="K433"/>
  <c r="J433"/>
  <c r="M434" l="1"/>
  <c r="L434" s="1"/>
  <c r="K434"/>
  <c r="J434"/>
  <c r="M435"/>
  <c r="L435" s="1"/>
  <c r="K435"/>
  <c r="J435"/>
  <c r="M436"/>
  <c r="L436" s="1"/>
  <c r="K436"/>
  <c r="J436"/>
  <c r="M437"/>
  <c r="L437" s="1"/>
  <c r="K437"/>
  <c r="J437"/>
  <c r="M438"/>
  <c r="L438" s="1"/>
  <c r="K438"/>
  <c r="J438"/>
  <c r="M439"/>
  <c r="L439" s="1"/>
  <c r="K439"/>
  <c r="J439"/>
  <c r="M440"/>
  <c r="L440" s="1"/>
  <c r="K440"/>
  <c r="J440"/>
  <c r="M441"/>
  <c r="L441" s="1"/>
  <c r="K441"/>
  <c r="J441"/>
  <c r="M442"/>
  <c r="L442" s="1"/>
  <c r="K442"/>
  <c r="J442"/>
  <c r="M443"/>
  <c r="L443" s="1"/>
  <c r="K443"/>
  <c r="J443"/>
  <c r="M444"/>
  <c r="L444" s="1"/>
  <c r="K444"/>
  <c r="J444"/>
  <c r="M445"/>
  <c r="L445" s="1"/>
  <c r="K445"/>
  <c r="J445"/>
  <c r="M446"/>
  <c r="L446" s="1"/>
  <c r="K446"/>
  <c r="J446"/>
  <c r="M447"/>
  <c r="L447" s="1"/>
  <c r="K447"/>
  <c r="J447"/>
  <c r="M448"/>
  <c r="L448" s="1"/>
  <c r="K448"/>
  <c r="J448"/>
  <c r="M449"/>
  <c r="L449" s="1"/>
  <c r="K449"/>
  <c r="J449"/>
  <c r="M450"/>
  <c r="L450" s="1"/>
  <c r="K450"/>
  <c r="J450"/>
  <c r="M451"/>
  <c r="L451" s="1"/>
  <c r="K451"/>
  <c r="J451"/>
  <c r="M452"/>
  <c r="L452" s="1"/>
  <c r="K452"/>
  <c r="J452"/>
  <c r="M453"/>
  <c r="L453" s="1"/>
  <c r="K453"/>
  <c r="J453"/>
  <c r="M454"/>
  <c r="L454" s="1"/>
  <c r="K454"/>
  <c r="J454"/>
  <c r="M455"/>
  <c r="L455" s="1"/>
  <c r="K455"/>
  <c r="J455"/>
  <c r="M456"/>
  <c r="L456" s="1"/>
  <c r="K456"/>
  <c r="J456"/>
  <c r="M457"/>
  <c r="L457" s="1"/>
  <c r="K457"/>
  <c r="J457"/>
  <c r="M458"/>
  <c r="L458" s="1"/>
  <c r="K458"/>
  <c r="J458"/>
  <c r="M459"/>
  <c r="L459" s="1"/>
  <c r="J459" l="1"/>
  <c r="K459"/>
  <c r="J460"/>
  <c r="K460"/>
  <c r="M460"/>
  <c r="L460" s="1"/>
  <c r="J461"/>
  <c r="K461"/>
  <c r="M461"/>
  <c r="L461" s="1"/>
  <c r="J462"/>
  <c r="K462"/>
  <c r="M462"/>
  <c r="L462" s="1"/>
  <c r="J463"/>
  <c r="K463"/>
  <c r="M463"/>
  <c r="L463" s="1"/>
  <c r="J464"/>
  <c r="K464"/>
  <c r="M464"/>
  <c r="L464" s="1"/>
  <c r="J465"/>
  <c r="K465"/>
  <c r="M465"/>
  <c r="L465" s="1"/>
  <c r="J466"/>
  <c r="K466"/>
  <c r="M466"/>
  <c r="L466" s="1"/>
  <c r="J467"/>
  <c r="K467"/>
  <c r="M467"/>
  <c r="L467" s="1"/>
  <c r="J468"/>
  <c r="K468"/>
  <c r="M468"/>
  <c r="L468" s="1"/>
  <c r="J469"/>
  <c r="K469"/>
  <c r="M469"/>
  <c r="L469" s="1"/>
  <c r="J470"/>
  <c r="K470"/>
  <c r="M470"/>
  <c r="L470" s="1"/>
  <c r="J471"/>
  <c r="K471"/>
  <c r="M471"/>
  <c r="L471" s="1"/>
  <c r="J472"/>
  <c r="K472"/>
  <c r="M472"/>
  <c r="L472" s="1"/>
  <c r="J473"/>
  <c r="K473"/>
  <c r="M473"/>
  <c r="L473" s="1"/>
  <c r="J474"/>
  <c r="K474"/>
  <c r="M474"/>
  <c r="L474" s="1"/>
  <c r="J475"/>
  <c r="K475"/>
  <c r="M475"/>
  <c r="L475" s="1"/>
  <c r="J476"/>
  <c r="K476"/>
  <c r="M476"/>
  <c r="L476" s="1"/>
  <c r="J477"/>
  <c r="K477"/>
  <c r="M477"/>
  <c r="L477" s="1"/>
  <c r="J478"/>
  <c r="K478"/>
  <c r="M478"/>
  <c r="L478" s="1"/>
  <c r="J479"/>
  <c r="K479"/>
  <c r="M479"/>
  <c r="L479" s="1"/>
  <c r="J480"/>
  <c r="K480"/>
  <c r="M480"/>
  <c r="L480" s="1"/>
  <c r="J481"/>
  <c r="K481"/>
  <c r="M481"/>
  <c r="L481" s="1"/>
  <c r="J482"/>
  <c r="K482"/>
  <c r="M482"/>
  <c r="L482" s="1"/>
  <c r="J483"/>
  <c r="K483"/>
  <c r="M483"/>
  <c r="L483" s="1"/>
  <c r="J484"/>
  <c r="K484"/>
  <c r="M484"/>
  <c r="L484" s="1"/>
  <c r="J485"/>
  <c r="K485"/>
  <c r="M485"/>
  <c r="L485" s="1"/>
  <c r="J486"/>
  <c r="K486"/>
  <c r="M486"/>
  <c r="L486" s="1"/>
  <c r="J487"/>
  <c r="K487"/>
  <c r="M487"/>
  <c r="L487" s="1"/>
  <c r="J488"/>
  <c r="K488"/>
  <c r="M488"/>
  <c r="L488" s="1"/>
  <c r="J489"/>
  <c r="K489"/>
  <c r="M489"/>
  <c r="L489" s="1"/>
  <c r="J490"/>
  <c r="K490"/>
  <c r="M490"/>
  <c r="L490" s="1"/>
  <c r="J491"/>
  <c r="K491"/>
  <c r="M491"/>
  <c r="L491" s="1"/>
  <c r="J492"/>
  <c r="K492"/>
  <c r="M492"/>
  <c r="L492" s="1"/>
  <c r="J493"/>
  <c r="K493"/>
  <c r="M493"/>
  <c r="L493" s="1"/>
  <c r="J494"/>
  <c r="K494"/>
  <c r="M494"/>
  <c r="L494" s="1"/>
  <c r="J495"/>
  <c r="K495"/>
  <c r="M495"/>
  <c r="L495" s="1"/>
  <c r="J496"/>
  <c r="K496"/>
  <c r="M496"/>
  <c r="L496" s="1"/>
  <c r="J497"/>
  <c r="K497"/>
  <c r="M497"/>
  <c r="L497" s="1"/>
  <c r="J498"/>
  <c r="K498"/>
  <c r="M498"/>
  <c r="L498" s="1"/>
  <c r="J499"/>
  <c r="K499"/>
  <c r="M499"/>
  <c r="L499" s="1"/>
  <c r="B54" i="3"/>
  <c r="C54"/>
  <c r="D54"/>
  <c r="B51"/>
  <c r="C51"/>
  <c r="D51"/>
  <c r="I11" i="4"/>
  <c r="I10"/>
  <c r="I9"/>
  <c r="E4"/>
  <c r="D4"/>
  <c r="E54" i="3" l="1"/>
  <c r="E51"/>
  <c r="E35" i="18"/>
  <c r="E34"/>
  <c r="E38"/>
  <c r="E29"/>
  <c r="E36"/>
  <c r="B26" i="3" l="1"/>
  <c r="C26"/>
  <c r="D26"/>
  <c r="E26" l="1"/>
  <c r="I5" i="8"/>
  <c r="E39" i="18" l="1"/>
  <c r="E37"/>
  <c r="E25"/>
  <c r="E33"/>
  <c r="E30"/>
  <c r="E28"/>
  <c r="E32"/>
  <c r="E31"/>
  <c r="E27"/>
  <c r="D4" i="17"/>
  <c r="E26" i="18" l="1"/>
  <c r="E42" s="1"/>
  <c r="D42"/>
  <c r="B4" i="3"/>
  <c r="C4"/>
  <c r="D4"/>
  <c r="B5"/>
  <c r="C5"/>
  <c r="D5"/>
  <c r="B6"/>
  <c r="C6"/>
  <c r="D6"/>
  <c r="B7"/>
  <c r="C7"/>
  <c r="D7"/>
  <c r="B8"/>
  <c r="C8"/>
  <c r="D8"/>
  <c r="B9"/>
  <c r="C9"/>
  <c r="D9"/>
  <c r="B10"/>
  <c r="C10"/>
  <c r="D10"/>
  <c r="B11"/>
  <c r="C11"/>
  <c r="D11"/>
  <c r="B12"/>
  <c r="C12"/>
  <c r="D12"/>
  <c r="B13"/>
  <c r="C13"/>
  <c r="D13"/>
  <c r="B14"/>
  <c r="C14"/>
  <c r="D14"/>
  <c r="B15"/>
  <c r="C15"/>
  <c r="D15"/>
  <c r="B16"/>
  <c r="C16"/>
  <c r="D16"/>
  <c r="B17"/>
  <c r="C17"/>
  <c r="D17"/>
  <c r="B18"/>
  <c r="C18"/>
  <c r="D18"/>
  <c r="B19"/>
  <c r="C19"/>
  <c r="D19"/>
  <c r="B20"/>
  <c r="C20"/>
  <c r="D20"/>
  <c r="B21"/>
  <c r="C21"/>
  <c r="D21"/>
  <c r="B22"/>
  <c r="C22"/>
  <c r="D22"/>
  <c r="B23"/>
  <c r="C23"/>
  <c r="D23"/>
  <c r="B24"/>
  <c r="C24"/>
  <c r="D24"/>
  <c r="B25"/>
  <c r="C25"/>
  <c r="D25"/>
  <c r="B27"/>
  <c r="C27"/>
  <c r="D27"/>
  <c r="B28"/>
  <c r="C28"/>
  <c r="D28"/>
  <c r="B29"/>
  <c r="C29"/>
  <c r="D29"/>
  <c r="B30"/>
  <c r="C30"/>
  <c r="D30"/>
  <c r="B31"/>
  <c r="C31"/>
  <c r="D31"/>
  <c r="B32"/>
  <c r="C32"/>
  <c r="D32"/>
  <c r="B33"/>
  <c r="C33"/>
  <c r="D33"/>
  <c r="B34"/>
  <c r="C34"/>
  <c r="D34"/>
  <c r="B35"/>
  <c r="C35"/>
  <c r="D35"/>
  <c r="B36"/>
  <c r="C36"/>
  <c r="D36"/>
  <c r="B37"/>
  <c r="C37"/>
  <c r="D37"/>
  <c r="B38"/>
  <c r="C38"/>
  <c r="D38"/>
  <c r="B39"/>
  <c r="C39"/>
  <c r="D39"/>
  <c r="B40"/>
  <c r="C40"/>
  <c r="D40"/>
  <c r="B41"/>
  <c r="C41"/>
  <c r="D41"/>
  <c r="B42"/>
  <c r="C42"/>
  <c r="D42"/>
  <c r="B43"/>
  <c r="C43"/>
  <c r="D43"/>
  <c r="B44"/>
  <c r="C44"/>
  <c r="D44"/>
  <c r="B45"/>
  <c r="C45"/>
  <c r="D45"/>
  <c r="B46"/>
  <c r="C46"/>
  <c r="D46"/>
  <c r="B47"/>
  <c r="C47"/>
  <c r="D47"/>
  <c r="B48"/>
  <c r="C48"/>
  <c r="D48"/>
  <c r="B49"/>
  <c r="C49"/>
  <c r="D49"/>
  <c r="B50"/>
  <c r="C50"/>
  <c r="D50"/>
  <c r="B52"/>
  <c r="C52"/>
  <c r="D52"/>
  <c r="B53"/>
  <c r="C53"/>
  <c r="D53"/>
  <c r="B55"/>
  <c r="C55"/>
  <c r="D55"/>
  <c r="B56"/>
  <c r="C56"/>
  <c r="D56"/>
  <c r="B57"/>
  <c r="C57"/>
  <c r="D57"/>
  <c r="B58"/>
  <c r="C58"/>
  <c r="D58"/>
  <c r="B59"/>
  <c r="C59"/>
  <c r="D59"/>
  <c r="D3"/>
  <c r="C3"/>
  <c r="B3"/>
  <c r="E43" i="18" l="1"/>
  <c r="E65" i="3"/>
  <c r="E16" i="18"/>
  <c r="E66" i="3"/>
  <c r="E64"/>
  <c r="E7" i="18"/>
  <c r="E9"/>
  <c r="E14"/>
  <c r="E5"/>
  <c r="E18"/>
  <c r="E12"/>
  <c r="E11"/>
  <c r="E6"/>
  <c r="E4"/>
  <c r="E10"/>
  <c r="D66" i="3"/>
  <c r="D64"/>
  <c r="B66"/>
  <c r="B64"/>
  <c r="C65"/>
  <c r="D65"/>
  <c r="B65"/>
  <c r="C66"/>
  <c r="C64"/>
  <c r="E17" i="18"/>
  <c r="E15"/>
  <c r="E13"/>
  <c r="E8"/>
  <c r="D21" l="1"/>
  <c r="E67" i="3"/>
  <c r="C67"/>
  <c r="E21" i="18"/>
  <c r="B67" i="3"/>
  <c r="D67"/>
  <c r="I8" i="8"/>
  <c r="I7"/>
  <c r="I6"/>
  <c r="I11" i="17"/>
  <c r="I10"/>
  <c r="I9"/>
  <c r="B6"/>
  <c r="B5"/>
  <c r="E4"/>
  <c r="H500" i="2"/>
  <c r="H499" l="1"/>
  <c r="H498" s="1"/>
  <c r="H497" s="1"/>
  <c r="H496" s="1"/>
  <c r="H495" s="1"/>
  <c r="H494" s="1"/>
  <c r="H493" s="1"/>
  <c r="H492" s="1"/>
  <c r="H491" s="1"/>
  <c r="H490" s="1"/>
  <c r="H489" s="1"/>
  <c r="H488" s="1"/>
  <c r="H487" s="1"/>
  <c r="H486" s="1"/>
  <c r="H485" s="1"/>
  <c r="H484" s="1"/>
  <c r="H483" s="1"/>
  <c r="H482" s="1"/>
  <c r="H481" s="1"/>
  <c r="H480" s="1"/>
  <c r="H479" s="1"/>
  <c r="H478" s="1"/>
  <c r="H477" s="1"/>
  <c r="H476" s="1"/>
  <c r="H475" s="1"/>
  <c r="H474" s="1"/>
  <c r="H473" s="1"/>
  <c r="H472" s="1"/>
  <c r="H471" s="1"/>
  <c r="H470" s="1"/>
  <c r="H469" s="1"/>
  <c r="H468" s="1"/>
  <c r="H467" s="1"/>
  <c r="H466" s="1"/>
  <c r="H465" s="1"/>
  <c r="H464" s="1"/>
  <c r="H463" s="1"/>
  <c r="H462" s="1"/>
  <c r="H461" s="1"/>
  <c r="H460" s="1"/>
  <c r="H459" s="1"/>
  <c r="H458" s="1"/>
  <c r="H457" s="1"/>
  <c r="H456" s="1"/>
  <c r="H455" s="1"/>
  <c r="H454" s="1"/>
  <c r="H453" s="1"/>
  <c r="H452" s="1"/>
  <c r="H451" s="1"/>
  <c r="H450" s="1"/>
  <c r="H449" s="1"/>
  <c r="H448" s="1"/>
  <c r="H447" s="1"/>
  <c r="H446" s="1"/>
  <c r="H445" s="1"/>
  <c r="H444" s="1"/>
  <c r="H443" s="1"/>
  <c r="H442" s="1"/>
  <c r="H441" s="1"/>
  <c r="H440" s="1"/>
  <c r="H439" s="1"/>
  <c r="H438" s="1"/>
  <c r="H437" s="1"/>
  <c r="H436" s="1"/>
  <c r="H435" s="1"/>
  <c r="H434" s="1"/>
  <c r="H433" s="1"/>
  <c r="H432" s="1"/>
  <c r="H431" s="1"/>
  <c r="H430" s="1"/>
  <c r="H429" s="1"/>
  <c r="H428" s="1"/>
  <c r="H427" s="1"/>
  <c r="H426" s="1"/>
  <c r="H425" s="1"/>
  <c r="H424" s="1"/>
  <c r="H423" s="1"/>
  <c r="H422" s="1"/>
  <c r="H421" s="1"/>
  <c r="H420" s="1"/>
  <c r="H419" s="1"/>
  <c r="H418" s="1"/>
  <c r="H417" s="1"/>
  <c r="H416" s="1"/>
  <c r="H415" s="1"/>
  <c r="H414" s="1"/>
  <c r="H413" s="1"/>
  <c r="H412" s="1"/>
  <c r="H411" s="1"/>
  <c r="H410" s="1"/>
  <c r="H409" s="1"/>
  <c r="H408" s="1"/>
  <c r="H407" s="1"/>
  <c r="H406" s="1"/>
  <c r="H405" s="1"/>
  <c r="H404" s="1"/>
  <c r="H403" s="1"/>
  <c r="H402" s="1"/>
  <c r="H401" s="1"/>
  <c r="H400" s="1"/>
  <c r="H399" s="1"/>
  <c r="H398" s="1"/>
  <c r="H397" s="1"/>
  <c r="H396" s="1"/>
  <c r="H395" s="1"/>
  <c r="H394" s="1"/>
  <c r="H393" s="1"/>
  <c r="H392" s="1"/>
  <c r="H391" s="1"/>
  <c r="H390" s="1"/>
  <c r="H389" s="1"/>
  <c r="H388" s="1"/>
  <c r="H387" s="1"/>
  <c r="H386" s="1"/>
  <c r="H385" s="1"/>
  <c r="H384" s="1"/>
  <c r="H383" s="1"/>
  <c r="H382" s="1"/>
  <c r="H381" s="1"/>
  <c r="H380" s="1"/>
  <c r="H379" s="1"/>
  <c r="H378" s="1"/>
  <c r="H377" s="1"/>
  <c r="H376" s="1"/>
  <c r="H375" s="1"/>
  <c r="H374" s="1"/>
  <c r="H373" s="1"/>
  <c r="H372" s="1"/>
  <c r="H371" s="1"/>
  <c r="H370" s="1"/>
  <c r="H369" s="1"/>
  <c r="H368" s="1"/>
  <c r="H367" s="1"/>
  <c r="H366" s="1"/>
  <c r="H365" s="1"/>
  <c r="H364" s="1"/>
  <c r="H363" s="1"/>
  <c r="H362" s="1"/>
  <c r="H361" s="1"/>
  <c r="H360" s="1"/>
  <c r="H359" s="1"/>
  <c r="H358" s="1"/>
  <c r="H357" s="1"/>
  <c r="H356" s="1"/>
  <c r="H355" s="1"/>
  <c r="H354" s="1"/>
  <c r="H353" s="1"/>
  <c r="H352" s="1"/>
  <c r="H351" s="1"/>
  <c r="H350" s="1"/>
  <c r="H349" s="1"/>
  <c r="H348" s="1"/>
  <c r="H347" s="1"/>
  <c r="H346" s="1"/>
  <c r="H345" s="1"/>
  <c r="H344" s="1"/>
  <c r="H343" s="1"/>
  <c r="H342" s="1"/>
  <c r="H341" s="1"/>
  <c r="H340" s="1"/>
  <c r="H339" s="1"/>
  <c r="H338" s="1"/>
  <c r="H337" s="1"/>
  <c r="H336" s="1"/>
  <c r="H335" s="1"/>
  <c r="H334" s="1"/>
  <c r="H333" s="1"/>
  <c r="H332" s="1"/>
  <c r="H331" s="1"/>
  <c r="H330" s="1"/>
  <c r="H329" s="1"/>
  <c r="H328" s="1"/>
  <c r="H327" s="1"/>
  <c r="H326" s="1"/>
  <c r="H325" s="1"/>
  <c r="H324" s="1"/>
  <c r="H323" s="1"/>
  <c r="H322" s="1"/>
  <c r="H321" s="1"/>
  <c r="H320" s="1"/>
  <c r="H319" s="1"/>
  <c r="H318" s="1"/>
  <c r="H317" s="1"/>
  <c r="H316" s="1"/>
  <c r="H315" s="1"/>
  <c r="H314" s="1"/>
  <c r="H313" s="1"/>
  <c r="H312" s="1"/>
  <c r="H311" s="1"/>
  <c r="H310" s="1"/>
  <c r="H309" s="1"/>
  <c r="H308" s="1"/>
  <c r="H307" s="1"/>
  <c r="H306" s="1"/>
  <c r="H305" s="1"/>
  <c r="H304" s="1"/>
  <c r="H303" s="1"/>
  <c r="H302" s="1"/>
  <c r="H301" s="1"/>
  <c r="H300" s="1"/>
  <c r="H299" s="1"/>
  <c r="H298" s="1"/>
  <c r="H297" s="1"/>
  <c r="H296" s="1"/>
  <c r="H295" s="1"/>
  <c r="H294" s="1"/>
  <c r="H293" s="1"/>
  <c r="H292" s="1"/>
  <c r="H291" s="1"/>
  <c r="H290" s="1"/>
  <c r="H289" s="1"/>
  <c r="H288" s="1"/>
  <c r="H287" s="1"/>
  <c r="H286" s="1"/>
  <c r="H285" s="1"/>
  <c r="H284" s="1"/>
  <c r="H283" s="1"/>
  <c r="H282" s="1"/>
  <c r="H281" s="1"/>
  <c r="H280" s="1"/>
  <c r="H279" s="1"/>
  <c r="H278" s="1"/>
  <c r="H277" s="1"/>
  <c r="H276" s="1"/>
  <c r="H275" s="1"/>
  <c r="H274" s="1"/>
  <c r="H273" s="1"/>
  <c r="H272" s="1"/>
  <c r="H271" s="1"/>
  <c r="H270" s="1"/>
  <c r="H269" s="1"/>
  <c r="H268" s="1"/>
  <c r="H267" s="1"/>
  <c r="H266" s="1"/>
  <c r="H265" s="1"/>
  <c r="H264" s="1"/>
  <c r="H263" s="1"/>
  <c r="H262" s="1"/>
  <c r="H261" s="1"/>
  <c r="H260" s="1"/>
  <c r="H259" s="1"/>
  <c r="H258" s="1"/>
  <c r="H257" s="1"/>
  <c r="H256" s="1"/>
  <c r="H255" s="1"/>
  <c r="H254" s="1"/>
  <c r="H253" s="1"/>
  <c r="H252" s="1"/>
  <c r="H251" s="1"/>
  <c r="H250" s="1"/>
  <c r="H249" s="1"/>
  <c r="H248" s="1"/>
  <c r="H247" s="1"/>
  <c r="H246" s="1"/>
  <c r="H245" s="1"/>
  <c r="H244" s="1"/>
  <c r="H243" s="1"/>
  <c r="H242" s="1"/>
  <c r="H241" s="1"/>
  <c r="H240" s="1"/>
  <c r="H239" s="1"/>
  <c r="H238" s="1"/>
  <c r="H237" s="1"/>
  <c r="H236" s="1"/>
  <c r="H235" s="1"/>
  <c r="H234" s="1"/>
  <c r="H233" s="1"/>
  <c r="H232" s="1"/>
  <c r="H231" s="1"/>
  <c r="H230" s="1"/>
  <c r="H229" s="1"/>
  <c r="H228" s="1"/>
  <c r="H227" s="1"/>
  <c r="H226" s="1"/>
  <c r="H225" s="1"/>
  <c r="H224" s="1"/>
  <c r="H223" s="1"/>
  <c r="H222" s="1"/>
  <c r="H221" s="1"/>
  <c r="H220" s="1"/>
  <c r="H219" s="1"/>
  <c r="H218" s="1"/>
  <c r="H217" s="1"/>
  <c r="H216" s="1"/>
  <c r="H215" s="1"/>
  <c r="H214" s="1"/>
  <c r="H213" s="1"/>
  <c r="H212" s="1"/>
  <c r="H211" s="1"/>
  <c r="H210" s="1"/>
  <c r="H209" s="1"/>
  <c r="H208" s="1"/>
  <c r="H207" s="1"/>
  <c r="H206" s="1"/>
  <c r="H205" s="1"/>
  <c r="H204" s="1"/>
  <c r="H203" s="1"/>
  <c r="H202" s="1"/>
  <c r="H201" s="1"/>
  <c r="H200" s="1"/>
  <c r="H199" s="1"/>
  <c r="H198" s="1"/>
  <c r="H197" s="1"/>
  <c r="H196" s="1"/>
  <c r="H195" s="1"/>
  <c r="H194" s="1"/>
  <c r="H193" s="1"/>
  <c r="H192" s="1"/>
  <c r="H191" s="1"/>
  <c r="H190" s="1"/>
  <c r="H189" s="1"/>
  <c r="H188" s="1"/>
  <c r="H187" s="1"/>
  <c r="H186" s="1"/>
  <c r="H185" s="1"/>
  <c r="H184" s="1"/>
  <c r="H183" s="1"/>
  <c r="H182" s="1"/>
  <c r="H181" s="1"/>
  <c r="H180" s="1"/>
  <c r="H179" s="1"/>
  <c r="H178" s="1"/>
  <c r="H177" s="1"/>
  <c r="H176" s="1"/>
  <c r="H175" s="1"/>
  <c r="H174" s="1"/>
  <c r="H173" s="1"/>
  <c r="H172" s="1"/>
  <c r="H171" s="1"/>
  <c r="H170" s="1"/>
  <c r="H169" s="1"/>
  <c r="H168" s="1"/>
  <c r="H167" s="1"/>
  <c r="H166" s="1"/>
  <c r="H165" s="1"/>
  <c r="H164" s="1"/>
  <c r="H163" s="1"/>
  <c r="H162" s="1"/>
  <c r="H161" s="1"/>
  <c r="H160" s="1"/>
  <c r="H159" s="1"/>
  <c r="H158" s="1"/>
  <c r="H157" s="1"/>
  <c r="H156" s="1"/>
  <c r="H155" s="1"/>
  <c r="H154" s="1"/>
  <c r="H153" s="1"/>
  <c r="H152" s="1"/>
  <c r="H151" s="1"/>
  <c r="H150" s="1"/>
  <c r="H149" s="1"/>
  <c r="H148" s="1"/>
  <c r="H147" s="1"/>
  <c r="H146" s="1"/>
  <c r="H145" s="1"/>
  <c r="H144" s="1"/>
  <c r="H143" s="1"/>
  <c r="H142" s="1"/>
  <c r="H141" s="1"/>
  <c r="H140" s="1"/>
  <c r="H139" s="1"/>
  <c r="H138" s="1"/>
  <c r="H137" s="1"/>
  <c r="H136" s="1"/>
  <c r="H135" s="1"/>
  <c r="H134" s="1"/>
  <c r="H133" s="1"/>
  <c r="H132" s="1"/>
  <c r="H131" s="1"/>
  <c r="H130" s="1"/>
  <c r="H129" s="1"/>
  <c r="H128" s="1"/>
  <c r="H127" s="1"/>
  <c r="H126" s="1"/>
  <c r="H125" s="1"/>
  <c r="H124" s="1"/>
  <c r="H123" s="1"/>
  <c r="H122" s="1"/>
  <c r="H121" s="1"/>
  <c r="H120" s="1"/>
  <c r="H119" s="1"/>
  <c r="H118" s="1"/>
  <c r="H117" s="1"/>
  <c r="H116" s="1"/>
  <c r="H115" s="1"/>
  <c r="H114" s="1"/>
  <c r="H113" s="1"/>
  <c r="H112" s="1"/>
  <c r="H111" s="1"/>
  <c r="H110" s="1"/>
  <c r="H109" s="1"/>
  <c r="H108" s="1"/>
  <c r="H107" s="1"/>
  <c r="H106" s="1"/>
  <c r="H105" s="1"/>
  <c r="H104" s="1"/>
  <c r="H103" s="1"/>
  <c r="H102" s="1"/>
  <c r="H101" s="1"/>
  <c r="H100" s="1"/>
  <c r="H99" s="1"/>
  <c r="H98" s="1"/>
  <c r="H97" s="1"/>
  <c r="H96" s="1"/>
  <c r="H95" s="1"/>
  <c r="H94" s="1"/>
  <c r="H93" s="1"/>
  <c r="H92" s="1"/>
  <c r="H91" s="1"/>
  <c r="H90" s="1"/>
  <c r="H89" s="1"/>
  <c r="H88" s="1"/>
  <c r="H87" s="1"/>
  <c r="H86" s="1"/>
  <c r="H85" s="1"/>
  <c r="H84" s="1"/>
  <c r="H83" s="1"/>
  <c r="H82" s="1"/>
  <c r="H81" s="1"/>
  <c r="H80" s="1"/>
  <c r="H79" s="1"/>
  <c r="H78" s="1"/>
  <c r="H77" s="1"/>
  <c r="H76" s="1"/>
  <c r="H75" s="1"/>
  <c r="H74" s="1"/>
  <c r="H73" s="1"/>
  <c r="H72" s="1"/>
  <c r="H71" s="1"/>
  <c r="H70" s="1"/>
  <c r="H69" s="1"/>
  <c r="H68" s="1"/>
  <c r="H67" s="1"/>
  <c r="H66" s="1"/>
  <c r="H65" s="1"/>
  <c r="H64" s="1"/>
  <c r="H63" s="1"/>
  <c r="H62" s="1"/>
  <c r="H61" s="1"/>
  <c r="H60" s="1"/>
  <c r="H59" s="1"/>
  <c r="H58" s="1"/>
  <c r="H57" s="1"/>
  <c r="H56" s="1"/>
  <c r="H55" s="1"/>
  <c r="H54" s="1"/>
  <c r="H53" s="1"/>
  <c r="H52" s="1"/>
  <c r="H51" s="1"/>
  <c r="H50" s="1"/>
  <c r="H49" s="1"/>
  <c r="H48" s="1"/>
  <c r="H47" s="1"/>
  <c r="H46" s="1"/>
  <c r="H45" s="1"/>
  <c r="H44" s="1"/>
  <c r="H43" s="1"/>
  <c r="H42" s="1"/>
  <c r="H41" s="1"/>
  <c r="H40" s="1"/>
  <c r="H39" s="1"/>
  <c r="H38" s="1"/>
  <c r="H37" s="1"/>
  <c r="H36" s="1"/>
  <c r="H35" s="1"/>
  <c r="H34" s="1"/>
  <c r="H33" s="1"/>
  <c r="H32" s="1"/>
  <c r="H31" s="1"/>
  <c r="H30" s="1"/>
  <c r="H29" s="1"/>
  <c r="H28" s="1"/>
  <c r="H27" s="1"/>
  <c r="H26" s="1"/>
  <c r="H25" s="1"/>
  <c r="H24" s="1"/>
  <c r="H23" s="1"/>
  <c r="H22" s="1"/>
  <c r="H21" s="1"/>
  <c r="H20" s="1"/>
  <c r="H19" s="1"/>
  <c r="H18" s="1"/>
  <c r="H17" s="1"/>
  <c r="H16" s="1"/>
  <c r="H15" s="1"/>
  <c r="H14" s="1"/>
  <c r="H13" s="1"/>
  <c r="H12" s="1"/>
  <c r="H11" s="1"/>
  <c r="H10" s="1"/>
  <c r="H9" s="1"/>
  <c r="H8" s="1"/>
  <c r="H7" s="1"/>
  <c r="H6" s="1"/>
  <c r="H5" s="1"/>
  <c r="H4" s="1"/>
  <c r="E22" i="18"/>
  <c r="C69" i="3"/>
  <c r="E57"/>
  <c r="E52"/>
  <c r="E47"/>
  <c r="E43"/>
  <c r="E39"/>
  <c r="E36"/>
  <c r="E34"/>
  <c r="E31"/>
  <c r="E30"/>
  <c r="E17"/>
  <c r="E29"/>
  <c r="E14"/>
  <c r="E7"/>
  <c r="E24"/>
  <c r="E20"/>
  <c r="E22"/>
  <c r="E21"/>
  <c r="E12"/>
  <c r="E10"/>
  <c r="E6"/>
  <c r="E38"/>
  <c r="E4"/>
  <c r="E59"/>
  <c r="E55"/>
  <c r="E49"/>
  <c r="E45"/>
  <c r="E41"/>
  <c r="E58"/>
  <c r="E56"/>
  <c r="E53"/>
  <c r="E50"/>
  <c r="E48"/>
  <c r="E46"/>
  <c r="E44"/>
  <c r="E42"/>
  <c r="E40"/>
  <c r="E35"/>
  <c r="E33"/>
  <c r="E32"/>
  <c r="E15"/>
  <c r="E16"/>
  <c r="E8"/>
  <c r="E3"/>
  <c r="E25"/>
  <c r="E23"/>
  <c r="E18"/>
  <c r="E19"/>
  <c r="E13"/>
  <c r="E11"/>
  <c r="E9"/>
  <c r="E5"/>
  <c r="E27"/>
  <c r="E37"/>
  <c r="E28"/>
</calcChain>
</file>

<file path=xl/sharedStrings.xml><?xml version="1.0" encoding="utf-8"?>
<sst xmlns="http://schemas.openxmlformats.org/spreadsheetml/2006/main" count="754" uniqueCount="182">
  <si>
    <t>Total CGR</t>
  </si>
  <si>
    <t>Total CP</t>
  </si>
  <si>
    <t>Total AFR</t>
  </si>
  <si>
    <t>TOTAL CGR</t>
  </si>
  <si>
    <t>TOTAL CP</t>
  </si>
  <si>
    <t>TOTAL AFR</t>
  </si>
  <si>
    <t>INSTITUCION SOLICITANTE</t>
  </si>
  <si>
    <t>FECHA</t>
  </si>
  <si>
    <t>HORA</t>
  </si>
  <si>
    <t>Fecha</t>
  </si>
  <si>
    <t>INSTITUCIONES</t>
  </si>
  <si>
    <t>RAMOS MEJIA</t>
  </si>
  <si>
    <t>Legajo:</t>
  </si>
  <si>
    <t>FUHESA</t>
  </si>
  <si>
    <t>GUTIERREZ</t>
  </si>
  <si>
    <t>ALVAREZ</t>
  </si>
  <si>
    <t>SARDA</t>
  </si>
  <si>
    <t>RIVADAVIA</t>
  </si>
  <si>
    <t>FERNANDEZ</t>
  </si>
  <si>
    <t>SANTOJANI</t>
  </si>
  <si>
    <t>DURAND</t>
  </si>
  <si>
    <t>ARGERICH</t>
  </si>
  <si>
    <t>TORNU</t>
  </si>
  <si>
    <t>MUÑIZ</t>
  </si>
  <si>
    <t>ELIZALDE</t>
  </si>
  <si>
    <t>PIÑERO</t>
  </si>
  <si>
    <t>PIROVANO</t>
  </si>
  <si>
    <t>POSADAS</t>
  </si>
  <si>
    <t>CLINICAS</t>
  </si>
  <si>
    <t>NIÑOS DE SAN JUSTO</t>
  </si>
  <si>
    <t>SAN ISIDRO</t>
  </si>
  <si>
    <t>HTAL DE MORON</t>
  </si>
  <si>
    <t>HTAL FIORITO</t>
  </si>
  <si>
    <t>INDEPENDENCIA</t>
  </si>
  <si>
    <t>SUIZO ARGENTINA</t>
  </si>
  <si>
    <t>ITOIZ</t>
  </si>
  <si>
    <t>FUNDOSOL</t>
  </si>
  <si>
    <t>COLEGIALES</t>
  </si>
  <si>
    <t>SAN CAMILO</t>
  </si>
  <si>
    <t>OTAMENDI</t>
  </si>
  <si>
    <t>Nº de Orden</t>
  </si>
  <si>
    <t>Institucion Pre existente</t>
  </si>
  <si>
    <t>Institucion Nueva</t>
  </si>
  <si>
    <t>Hora</t>
  </si>
  <si>
    <t>Unidades CGR</t>
  </si>
  <si>
    <t>Unidades CP</t>
  </si>
  <si>
    <t>Unidades AFR</t>
  </si>
  <si>
    <t>TOTAL GRN</t>
  </si>
  <si>
    <t>HORA DE IMPRESIÓN</t>
  </si>
  <si>
    <t>FECHA DE IRRADIACION</t>
  </si>
  <si>
    <t>INICIALES OPERADOR DE IMPRESIÓN</t>
  </si>
  <si>
    <t>Nombre y Apellido</t>
  </si>
  <si>
    <t>Legajo</t>
  </si>
  <si>
    <t>Iniciales</t>
  </si>
  <si>
    <t xml:space="preserve">Angelino Francisco L. </t>
  </si>
  <si>
    <t xml:space="preserve">Calvagno Juan Manuel </t>
  </si>
  <si>
    <t>Candia Soledad</t>
  </si>
  <si>
    <t xml:space="preserve">Marin Matías Edgardo </t>
  </si>
  <si>
    <t xml:space="preserve">Mazzoni Ruiz Julieta </t>
  </si>
  <si>
    <t xml:space="preserve">Melian Marcos Alejandro </t>
  </si>
  <si>
    <t>Miranda María Cristina</t>
  </si>
  <si>
    <t>FLA</t>
  </si>
  <si>
    <t>JMC</t>
  </si>
  <si>
    <t>MMC</t>
  </si>
  <si>
    <t>SC</t>
  </si>
  <si>
    <t>JMR</t>
  </si>
  <si>
    <t>Listado</t>
  </si>
  <si>
    <t>N° DE ORDEN</t>
  </si>
  <si>
    <t>Firma del Operador:</t>
  </si>
  <si>
    <t>Aclaracion:</t>
  </si>
  <si>
    <t>MEM</t>
  </si>
  <si>
    <t>MEL</t>
  </si>
  <si>
    <t>Observaciones:</t>
  </si>
  <si>
    <t>Firma del Transportista:</t>
  </si>
  <si>
    <t>DNI o Legajo:</t>
  </si>
  <si>
    <t>MATER DEI</t>
  </si>
  <si>
    <t>ROFFO</t>
  </si>
  <si>
    <t>PENNA</t>
  </si>
  <si>
    <t>EVA PERON SAN MARTIN</t>
  </si>
  <si>
    <t>BRITANICO</t>
  </si>
  <si>
    <t>BALLESTRINI</t>
  </si>
  <si>
    <t>CRUCE</t>
  </si>
  <si>
    <t>GANDULFO</t>
  </si>
  <si>
    <t>ABETE</t>
  </si>
  <si>
    <t>CARRILLO</t>
  </si>
  <si>
    <t>EVA PERON PUEBLO</t>
  </si>
  <si>
    <t>HTAL PACHECO</t>
  </si>
  <si>
    <t>HTAL THOMPSON</t>
  </si>
  <si>
    <t>LANARI</t>
  </si>
  <si>
    <t>PAROISSIEN</t>
  </si>
  <si>
    <t>POLICLINICO SAN JUSTO</t>
  </si>
  <si>
    <t>Alazraki Miriam</t>
  </si>
  <si>
    <t>MA</t>
  </si>
  <si>
    <t>Castillo Andrea</t>
  </si>
  <si>
    <t>AC</t>
  </si>
  <si>
    <t>Argañaraz Romina</t>
  </si>
  <si>
    <t>RAA</t>
  </si>
  <si>
    <t>Rea Joana Edith</t>
  </si>
  <si>
    <t>Chamarro Pamela</t>
  </si>
  <si>
    <t>Flores Sonia Solange</t>
  </si>
  <si>
    <t>Lana Romina</t>
  </si>
  <si>
    <t xml:space="preserve">Sancalli Lady </t>
  </si>
  <si>
    <t>SH</t>
  </si>
  <si>
    <t>VS</t>
  </si>
  <si>
    <t>LR</t>
  </si>
  <si>
    <t>SF</t>
  </si>
  <si>
    <t>RJ</t>
  </si>
  <si>
    <t>EVITA LANUS</t>
  </si>
  <si>
    <t>FUND FAVALORO</t>
  </si>
  <si>
    <t>FUND MARRA</t>
  </si>
  <si>
    <t>FU HE OESTE</t>
  </si>
  <si>
    <t>Izaguirre Silvia</t>
  </si>
  <si>
    <t>SI</t>
  </si>
  <si>
    <t>EURNEKIAN</t>
  </si>
  <si>
    <t>Caliva Luciana</t>
  </si>
  <si>
    <t>LC</t>
  </si>
  <si>
    <t>Machuca Jesica</t>
  </si>
  <si>
    <t>JNM</t>
  </si>
  <si>
    <t>MATERNO INFANTIL</t>
  </si>
  <si>
    <t>HIGA PTE PERON</t>
  </si>
  <si>
    <t>MATERNIDAD SANTA ROSA</t>
  </si>
  <si>
    <t>VELEZ SARSFIELD</t>
  </si>
  <si>
    <t>HOUSSAY VTE LOPEZ</t>
  </si>
  <si>
    <t>Form/IRR-01/01v01</t>
  </si>
  <si>
    <t>Form/IRR-01/02v01</t>
  </si>
  <si>
    <t xml:space="preserve">Mena Graciela </t>
  </si>
  <si>
    <t>GAM</t>
  </si>
  <si>
    <t>TOTAL UNIDADES</t>
  </si>
  <si>
    <t>Unidades GR</t>
  </si>
  <si>
    <t>OBSERVACIONES:</t>
  </si>
  <si>
    <t>Rodriguez Brenda</t>
  </si>
  <si>
    <t>BR</t>
  </si>
  <si>
    <t>Licheri Maria Laura</t>
  </si>
  <si>
    <t>LL</t>
  </si>
  <si>
    <t>Aguilar Ayala Sabrina</t>
  </si>
  <si>
    <t>SAA</t>
  </si>
  <si>
    <t>Alarcon Dalma</t>
  </si>
  <si>
    <t>AD</t>
  </si>
  <si>
    <t>Gomez Andrea</t>
  </si>
  <si>
    <t>APG</t>
  </si>
  <si>
    <t>Perez Claudia Beatriz</t>
  </si>
  <si>
    <t>CP</t>
  </si>
  <si>
    <t>Vargas Portillo Raquel</t>
  </si>
  <si>
    <t>RV</t>
  </si>
  <si>
    <t>Alaniz Alejandra</t>
  </si>
  <si>
    <t>AA</t>
  </si>
  <si>
    <t>Miranda Paola</t>
  </si>
  <si>
    <t>PM</t>
  </si>
  <si>
    <t xml:space="preserve">MES-AÑO: </t>
  </si>
  <si>
    <t>TOTAL DE UNIDADES IRRADIADAS</t>
  </si>
  <si>
    <t>Ins. Privadas</t>
  </si>
  <si>
    <t>Ins. Publicas</t>
  </si>
  <si>
    <t>UBA</t>
  </si>
  <si>
    <t>Ins. Provincia Bs As</t>
  </si>
  <si>
    <t>TOTAL</t>
  </si>
  <si>
    <t>Unidades de CGR</t>
  </si>
  <si>
    <t>Unidades de CP</t>
  </si>
  <si>
    <t>Unidades de AFR</t>
  </si>
  <si>
    <t>TOTAL DE UNIDADES</t>
  </si>
  <si>
    <t>TOTAL IRRADIADO</t>
  </si>
  <si>
    <t xml:space="preserve">TOTAL DE UNIDADES IRRADIADAS </t>
  </si>
  <si>
    <t>DICIEMBRE</t>
  </si>
  <si>
    <t>CP FACTURADAS</t>
  </si>
  <si>
    <t>AFR FACTURADAS</t>
  </si>
  <si>
    <t>GRANULOS</t>
  </si>
  <si>
    <t>TOTAL GR</t>
  </si>
  <si>
    <t>HEMOCENTRO BS AS</t>
  </si>
  <si>
    <t>FEBRERO</t>
  </si>
  <si>
    <t>UNIDADES IRRADIADAS ANTES DE 19HS</t>
  </si>
  <si>
    <t>UNIDADES IRRADIADAS DESPUES DE 19HS</t>
  </si>
  <si>
    <t>SANGUINETTI DE PILAR</t>
  </si>
  <si>
    <t>Salamanca Silvana</t>
  </si>
  <si>
    <t>SV</t>
  </si>
  <si>
    <t>SAN BERNARDINO DE SIENA DE HURLINGHAM</t>
  </si>
  <si>
    <t>MORON</t>
  </si>
  <si>
    <t>Maria Curie</t>
  </si>
  <si>
    <t>¿A30021800564621</t>
  </si>
  <si>
    <t>¿A30021800592721</t>
  </si>
  <si>
    <t>¿A30021800604801</t>
  </si>
  <si>
    <t>¿A30021800651221</t>
  </si>
  <si>
    <t>¿A30021800650921</t>
  </si>
  <si>
    <t>02:21:20 p.m</t>
  </si>
</sst>
</file>

<file path=xl/styles.xml><?xml version="1.0" encoding="utf-8"?>
<styleSheet xmlns="http://schemas.openxmlformats.org/spreadsheetml/2006/main">
  <numFmts count="4">
    <numFmt numFmtId="164" formatCode="[$-F800]dddd\,\ mmmm\ dd\,\ yyyy"/>
    <numFmt numFmtId="165" formatCode="dd/mm/yyyy;@"/>
    <numFmt numFmtId="166" formatCode="[$-F400]h:mm:ss\ AM/PM"/>
    <numFmt numFmtId="167" formatCode="hh:mm:ss;@"/>
  </numFmts>
  <fonts count="1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indexed="10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67">
    <xf numFmtId="0" fontId="0" fillId="0" borderId="0" xfId="0"/>
    <xf numFmtId="0" fontId="0" fillId="0" borderId="1" xfId="0" applyBorder="1"/>
    <xf numFmtId="0" fontId="1" fillId="0" borderId="0" xfId="0" applyFont="1" applyBorder="1" applyAlignment="1">
      <alignment horizontal="center" vertical="center"/>
    </xf>
    <xf numFmtId="0" fontId="0" fillId="0" borderId="0" xfId="0" applyBorder="1"/>
    <xf numFmtId="0" fontId="1" fillId="0" borderId="0" xfId="0" applyFont="1" applyAlignment="1">
      <alignment horizontal="right"/>
    </xf>
    <xf numFmtId="0" fontId="3" fillId="0" borderId="0" xfId="0" applyFont="1" applyBorder="1" applyAlignment="1">
      <alignment horizontal="right"/>
    </xf>
    <xf numFmtId="0" fontId="1" fillId="0" borderId="0" xfId="0" applyFont="1" applyBorder="1" applyAlignment="1">
      <alignment horizontal="right"/>
    </xf>
    <xf numFmtId="18" fontId="0" fillId="0" borderId="0" xfId="0" applyNumberFormat="1" applyBorder="1"/>
    <xf numFmtId="0" fontId="0" fillId="0" borderId="5" xfId="0" applyBorder="1" applyAlignment="1">
      <alignment horizontal="center" vertical="center"/>
    </xf>
    <xf numFmtId="0" fontId="0" fillId="0" borderId="2" xfId="0" applyBorder="1"/>
    <xf numFmtId="0" fontId="3" fillId="0" borderId="3" xfId="0" applyFont="1" applyBorder="1" applyAlignment="1">
      <alignment horizontal="center" vertical="center"/>
    </xf>
    <xf numFmtId="164" fontId="4" fillId="0" borderId="0" xfId="0" applyNumberFormat="1" applyFont="1" applyAlignment="1"/>
    <xf numFmtId="18" fontId="4" fillId="0" borderId="0" xfId="0" applyNumberFormat="1" applyFont="1" applyAlignment="1"/>
    <xf numFmtId="0" fontId="0" fillId="0" borderId="1" xfId="0" applyBorder="1" applyAlignment="1">
      <alignment horizontal="center" vertical="center"/>
    </xf>
    <xf numFmtId="0" fontId="0" fillId="0" borderId="0" xfId="0" applyFill="1" applyBorder="1"/>
    <xf numFmtId="0" fontId="5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0" fillId="0" borderId="0" xfId="0" applyBorder="1" applyAlignment="1"/>
    <xf numFmtId="0" fontId="3" fillId="0" borderId="0" xfId="0" applyFont="1" applyBorder="1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 vertical="center"/>
    </xf>
    <xf numFmtId="18" fontId="0" fillId="0" borderId="0" xfId="0" applyNumberFormat="1" applyFont="1" applyAlignment="1">
      <alignment horizontal="left"/>
    </xf>
    <xf numFmtId="0" fontId="1" fillId="0" borderId="0" xfId="0" applyFont="1" applyBorder="1"/>
    <xf numFmtId="14" fontId="0" fillId="0" borderId="1" xfId="0" applyNumberFormat="1" applyBorder="1" applyAlignment="1">
      <alignment horizontal="center" vertical="center"/>
    </xf>
    <xf numFmtId="14" fontId="1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4" fontId="1" fillId="3" borderId="7" xfId="0" applyNumberFormat="1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5" fillId="0" borderId="0" xfId="0" applyFont="1" applyAlignment="1">
      <alignment vertical="top"/>
    </xf>
    <xf numFmtId="0" fontId="1" fillId="0" borderId="0" xfId="0" applyFont="1" applyAlignment="1">
      <alignment horizontal="right" vertical="top"/>
    </xf>
    <xf numFmtId="0" fontId="1" fillId="3" borderId="7" xfId="0" applyFont="1" applyFill="1" applyBorder="1" applyAlignment="1">
      <alignment horizontal="center" vertical="center"/>
    </xf>
    <xf numFmtId="0" fontId="1" fillId="3" borderId="1" xfId="0" applyNumberFormat="1" applyFont="1" applyFill="1" applyBorder="1" applyAlignment="1">
      <alignment horizontal="center" vertical="center"/>
    </xf>
    <xf numFmtId="0" fontId="0" fillId="0" borderId="1" xfId="0" applyNumberFormat="1" applyBorder="1"/>
    <xf numFmtId="14" fontId="1" fillId="4" borderId="7" xfId="0" applyNumberFormat="1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>
      <alignment horizontal="center" vertical="center"/>
    </xf>
    <xf numFmtId="0" fontId="1" fillId="0" borderId="0" xfId="0" applyFont="1" applyBorder="1" applyAlignment="1">
      <alignment horizontal="left"/>
    </xf>
    <xf numFmtId="0" fontId="0" fillId="0" borderId="0" xfId="0" applyBorder="1" applyAlignment="1">
      <alignment horizontal="center" vertical="center"/>
    </xf>
    <xf numFmtId="0" fontId="1" fillId="0" borderId="0" xfId="0" applyFont="1" applyAlignment="1"/>
    <xf numFmtId="0" fontId="1" fillId="0" borderId="9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4" xfId="0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right"/>
    </xf>
    <xf numFmtId="0" fontId="3" fillId="0" borderId="0" xfId="0" applyFont="1" applyBorder="1" applyAlignment="1">
      <alignment horizontal="center" vertical="center"/>
    </xf>
    <xf numFmtId="14" fontId="1" fillId="0" borderId="0" xfId="0" applyNumberFormat="1" applyFont="1" applyAlignment="1">
      <alignment horizontal="center" vertical="top" wrapText="1"/>
    </xf>
    <xf numFmtId="0" fontId="0" fillId="0" borderId="0" xfId="0" applyFont="1" applyBorder="1"/>
    <xf numFmtId="0" fontId="0" fillId="0" borderId="0" xfId="0" applyFont="1" applyBorder="1" applyProtection="1"/>
    <xf numFmtId="0" fontId="0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horizontal="left" vertical="center"/>
    </xf>
    <xf numFmtId="1" fontId="0" fillId="0" borderId="0" xfId="0" applyNumberFormat="1" applyFill="1" applyBorder="1" applyProtection="1"/>
    <xf numFmtId="1" fontId="5" fillId="0" borderId="0" xfId="0" applyNumberFormat="1" applyFont="1" applyAlignment="1">
      <alignment vertical="center"/>
    </xf>
    <xf numFmtId="1" fontId="0" fillId="0" borderId="0" xfId="0" applyNumberFormat="1"/>
    <xf numFmtId="1" fontId="1" fillId="0" borderId="0" xfId="0" applyNumberFormat="1" applyFont="1" applyAlignment="1">
      <alignment horizontal="left" vertical="top"/>
    </xf>
    <xf numFmtId="1" fontId="4" fillId="0" borderId="0" xfId="0" applyNumberFormat="1" applyFont="1" applyAlignment="1"/>
    <xf numFmtId="1" fontId="1" fillId="0" borderId="0" xfId="0" applyNumberFormat="1" applyFont="1" applyAlignment="1">
      <alignment horizontal="right"/>
    </xf>
    <xf numFmtId="1" fontId="3" fillId="0" borderId="3" xfId="0" applyNumberFormat="1" applyFont="1" applyBorder="1" applyAlignment="1">
      <alignment horizontal="center" vertical="center"/>
    </xf>
    <xf numFmtId="1" fontId="0" fillId="0" borderId="0" xfId="0" applyNumberFormat="1" applyFill="1" applyBorder="1"/>
    <xf numFmtId="1" fontId="0" fillId="0" borderId="0" xfId="0" applyNumberFormat="1" applyFont="1" applyFill="1" applyBorder="1"/>
    <xf numFmtId="1" fontId="0" fillId="0" borderId="0" xfId="0" applyNumberFormat="1" applyFont="1"/>
    <xf numFmtId="1" fontId="0" fillId="0" borderId="0" xfId="0" applyNumberFormat="1" applyBorder="1"/>
    <xf numFmtId="1" fontId="1" fillId="0" borderId="0" xfId="0" applyNumberFormat="1" applyFont="1" applyAlignment="1">
      <alignment horizontal="right" vertical="top"/>
    </xf>
    <xf numFmtId="1" fontId="1" fillId="0" borderId="0" xfId="0" applyNumberFormat="1" applyFont="1" applyAlignment="1">
      <alignment horizontal="right" vertical="top" wrapText="1"/>
    </xf>
    <xf numFmtId="1" fontId="0" fillId="0" borderId="0" xfId="0" applyNumberFormat="1" applyFont="1" applyAlignment="1">
      <alignment horizontal="left"/>
    </xf>
    <xf numFmtId="1" fontId="7" fillId="0" borderId="0" xfId="0" applyNumberFormat="1" applyFont="1" applyAlignment="1">
      <alignment vertical="center"/>
    </xf>
    <xf numFmtId="1" fontId="4" fillId="5" borderId="3" xfId="0" applyNumberFormat="1" applyFont="1" applyFill="1" applyBorder="1" applyAlignment="1">
      <alignment horizontal="center" vertical="center"/>
    </xf>
    <xf numFmtId="1" fontId="7" fillId="0" borderId="0" xfId="0" applyNumberFormat="1" applyFont="1" applyAlignment="1"/>
    <xf numFmtId="1" fontId="0" fillId="0" borderId="3" xfId="0" applyNumberFormat="1" applyBorder="1" applyAlignment="1">
      <alignment horizontal="right"/>
    </xf>
    <xf numFmtId="14" fontId="0" fillId="0" borderId="0" xfId="0" applyNumberFormat="1" applyFont="1" applyAlignment="1">
      <alignment horizontal="right"/>
    </xf>
    <xf numFmtId="166" fontId="0" fillId="0" borderId="0" xfId="0" applyNumberFormat="1" applyFont="1" applyAlignment="1">
      <alignment horizontal="right"/>
    </xf>
    <xf numFmtId="1" fontId="0" fillId="6" borderId="2" xfId="0" applyNumberFormat="1" applyFill="1" applyBorder="1" applyProtection="1"/>
    <xf numFmtId="0" fontId="0" fillId="0" borderId="2" xfId="0" applyBorder="1" applyAlignment="1">
      <alignment horizontal="center"/>
    </xf>
    <xf numFmtId="0" fontId="0" fillId="0" borderId="0" xfId="0" applyFill="1" applyBorder="1" applyProtection="1"/>
    <xf numFmtId="0" fontId="9" fillId="6" borderId="9" xfId="0" applyFont="1" applyFill="1" applyBorder="1" applyAlignment="1"/>
    <xf numFmtId="0" fontId="0" fillId="2" borderId="9" xfId="0" applyFill="1" applyBorder="1"/>
    <xf numFmtId="0" fontId="10" fillId="0" borderId="0" xfId="0" applyFont="1" applyAlignment="1">
      <alignment horizontal="right" vertical="top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/>
    </xf>
    <xf numFmtId="1" fontId="0" fillId="0" borderId="0" xfId="0" applyNumberFormat="1" applyFont="1" applyFill="1" applyBorder="1" applyProtection="1"/>
    <xf numFmtId="0" fontId="0" fillId="0" borderId="0" xfId="0" applyBorder="1" applyProtection="1"/>
    <xf numFmtId="0" fontId="3" fillId="0" borderId="2" xfId="0" applyFont="1" applyBorder="1" applyAlignment="1">
      <alignment horizontal="right"/>
    </xf>
    <xf numFmtId="18" fontId="0" fillId="0" borderId="2" xfId="0" applyNumberFormat="1" applyFont="1" applyBorder="1" applyAlignment="1">
      <alignment horizontal="left"/>
    </xf>
    <xf numFmtId="0" fontId="5" fillId="0" borderId="2" xfId="0" applyFont="1" applyBorder="1" applyAlignment="1">
      <alignment vertical="top"/>
    </xf>
    <xf numFmtId="0" fontId="1" fillId="0" borderId="2" xfId="0" applyFont="1" applyBorder="1" applyAlignment="1">
      <alignment horizontal="left"/>
    </xf>
    <xf numFmtId="0" fontId="1" fillId="0" borderId="2" xfId="0" applyFont="1" applyBorder="1" applyAlignment="1">
      <alignment horizontal="right"/>
    </xf>
    <xf numFmtId="0" fontId="9" fillId="0" borderId="0" xfId="0" applyFont="1"/>
    <xf numFmtId="0" fontId="9" fillId="0" borderId="0" xfId="0" applyFont="1" applyBorder="1"/>
    <xf numFmtId="0" fontId="9" fillId="0" borderId="6" xfId="0" applyFont="1" applyBorder="1"/>
    <xf numFmtId="0" fontId="0" fillId="0" borderId="0" xfId="0" applyBorder="1" applyAlignment="1">
      <alignment horizontal="left" vertic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right" vertical="center"/>
    </xf>
    <xf numFmtId="0" fontId="1" fillId="4" borderId="1" xfId="0" applyFont="1" applyFill="1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1" fillId="2" borderId="17" xfId="0" applyFont="1" applyFill="1" applyBorder="1" applyAlignment="1">
      <alignment horizontal="left" wrapText="1"/>
    </xf>
    <xf numFmtId="0" fontId="1" fillId="2" borderId="18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4" borderId="1" xfId="0" applyFont="1" applyFill="1" applyBorder="1" applyAlignment="1">
      <alignment horizontal="right"/>
    </xf>
    <xf numFmtId="0" fontId="0" fillId="0" borderId="4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0" borderId="24" xfId="0" applyFont="1" applyFill="1" applyBorder="1" applyAlignment="1">
      <alignment horizontal="center" vertical="center"/>
    </xf>
    <xf numFmtId="0" fontId="1" fillId="0" borderId="11" xfId="0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2" borderId="25" xfId="0" applyFont="1" applyFill="1" applyBorder="1" applyAlignment="1">
      <alignment horizontal="left" wrapText="1"/>
    </xf>
    <xf numFmtId="0" fontId="1" fillId="2" borderId="26" xfId="0" applyFont="1" applyFill="1" applyBorder="1" applyAlignment="1">
      <alignment horizontal="left" wrapText="1"/>
    </xf>
    <xf numFmtId="0" fontId="1" fillId="0" borderId="0" xfId="0" applyFont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1" fontId="0" fillId="0" borderId="2" xfId="0" applyNumberFormat="1" applyFill="1" applyBorder="1" applyProtection="1"/>
    <xf numFmtId="0" fontId="0" fillId="0" borderId="0" xfId="0"/>
    <xf numFmtId="0" fontId="0" fillId="0" borderId="6" xfId="0" applyBorder="1"/>
    <xf numFmtId="0" fontId="0" fillId="0" borderId="0" xfId="0" applyFill="1" applyBorder="1"/>
    <xf numFmtId="1" fontId="0" fillId="0" borderId="0" xfId="0" applyNumberFormat="1" applyFill="1" applyBorder="1" applyProtection="1"/>
    <xf numFmtId="0" fontId="1" fillId="3" borderId="1" xfId="0" applyNumberFormat="1" applyFont="1" applyFill="1" applyBorder="1" applyAlignment="1">
      <alignment horizontal="right" vertical="center"/>
    </xf>
    <xf numFmtId="0" fontId="1" fillId="3" borderId="1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/>
    </xf>
    <xf numFmtId="14" fontId="1" fillId="8" borderId="7" xfId="0" applyNumberFormat="1" applyFont="1" applyFill="1" applyBorder="1" applyAlignment="1">
      <alignment horizontal="center" vertical="center"/>
    </xf>
    <xf numFmtId="0" fontId="1" fillId="8" borderId="7" xfId="0" applyFont="1" applyFill="1" applyBorder="1" applyAlignment="1">
      <alignment horizontal="center" vertical="center"/>
    </xf>
    <xf numFmtId="0" fontId="1" fillId="8" borderId="8" xfId="0" applyFont="1" applyFill="1" applyBorder="1" applyAlignment="1">
      <alignment horizontal="center" vertical="center"/>
    </xf>
    <xf numFmtId="0" fontId="1" fillId="8" borderId="1" xfId="0" applyNumberFormat="1" applyFont="1" applyFill="1" applyBorder="1" applyAlignment="1">
      <alignment horizontal="center" vertical="center"/>
    </xf>
    <xf numFmtId="167" fontId="1" fillId="3" borderId="1" xfId="0" applyNumberFormat="1" applyFont="1" applyFill="1" applyBorder="1" applyAlignment="1">
      <alignment horizontal="center" vertical="center"/>
    </xf>
    <xf numFmtId="167" fontId="1" fillId="3" borderId="7" xfId="0" applyNumberFormat="1" applyFont="1" applyFill="1" applyBorder="1" applyAlignment="1">
      <alignment horizontal="center" vertical="center"/>
    </xf>
    <xf numFmtId="167" fontId="1" fillId="8" borderId="7" xfId="0" applyNumberFormat="1" applyFont="1" applyFill="1" applyBorder="1" applyAlignment="1">
      <alignment horizontal="center" vertical="center"/>
    </xf>
    <xf numFmtId="167" fontId="1" fillId="4" borderId="7" xfId="0" applyNumberFormat="1" applyFont="1" applyFill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21" fontId="0" fillId="0" borderId="0" xfId="0" applyNumberFormat="1"/>
    <xf numFmtId="167" fontId="0" fillId="0" borderId="0" xfId="0" applyNumberFormat="1"/>
    <xf numFmtId="0" fontId="1" fillId="0" borderId="0" xfId="0" applyFont="1" applyAlignment="1">
      <alignment horizontal="left" vertical="center"/>
    </xf>
    <xf numFmtId="0" fontId="1" fillId="0" borderId="27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1" fontId="0" fillId="0" borderId="0" xfId="0" applyNumberFormat="1" applyFont="1" applyBorder="1"/>
    <xf numFmtId="0" fontId="0" fillId="0" borderId="0" xfId="0" applyBorder="1" applyAlignment="1">
      <alignment horizontal="right"/>
    </xf>
    <xf numFmtId="1" fontId="0" fillId="3" borderId="0" xfId="0" applyNumberFormat="1" applyFill="1" applyBorder="1" applyProtection="1"/>
    <xf numFmtId="0" fontId="0" fillId="0" borderId="0" xfId="0" applyNumberFormat="1" applyFont="1" applyFill="1" applyBorder="1" applyProtection="1"/>
    <xf numFmtId="0" fontId="9" fillId="0" borderId="0" xfId="0" applyFont="1" applyFill="1" applyBorder="1"/>
    <xf numFmtId="0" fontId="11" fillId="0" borderId="11" xfId="0" applyFont="1" applyFill="1" applyBorder="1" applyAlignment="1">
      <alignment horizontal="center" vertical="center"/>
    </xf>
    <xf numFmtId="0" fontId="1" fillId="3" borderId="0" xfId="0" applyNumberFormat="1" applyFont="1" applyFill="1" applyBorder="1" applyAlignment="1">
      <alignment horizontal="center" vertical="center"/>
    </xf>
    <xf numFmtId="0" fontId="0" fillId="2" borderId="2" xfId="0" applyFill="1" applyBorder="1" applyAlignment="1"/>
    <xf numFmtId="0" fontId="0" fillId="2" borderId="2" xfId="0" applyFill="1" applyBorder="1" applyAlignment="1">
      <alignment horizontal="right"/>
    </xf>
    <xf numFmtId="0" fontId="12" fillId="0" borderId="0" xfId="0" applyFont="1"/>
    <xf numFmtId="0" fontId="1" fillId="3" borderId="29" xfId="0" applyFont="1" applyFill="1" applyBorder="1" applyAlignment="1">
      <alignment horizontal="center" vertical="center"/>
    </xf>
    <xf numFmtId="0" fontId="1" fillId="3" borderId="30" xfId="0" applyFont="1" applyFill="1" applyBorder="1" applyAlignment="1">
      <alignment horizontal="center" vertical="center"/>
    </xf>
    <xf numFmtId="0" fontId="1" fillId="3" borderId="31" xfId="0" applyFont="1" applyFill="1" applyBorder="1" applyAlignment="1">
      <alignment horizontal="center" vertical="center"/>
    </xf>
    <xf numFmtId="0" fontId="1" fillId="0" borderId="32" xfId="0" applyFont="1" applyBorder="1" applyAlignment="1">
      <alignment horizontal="center"/>
    </xf>
    <xf numFmtId="0" fontId="0" fillId="0" borderId="2" xfId="0" applyFont="1" applyBorder="1" applyAlignment="1">
      <alignment horizontal="right"/>
    </xf>
    <xf numFmtId="0" fontId="1" fillId="0" borderId="0" xfId="0" applyFont="1" applyAlignment="1">
      <alignment horizontal="left"/>
    </xf>
    <xf numFmtId="165" fontId="0" fillId="0" borderId="0" xfId="0" applyNumberFormat="1" applyBorder="1" applyAlignment="1">
      <alignment horizontal="left"/>
    </xf>
    <xf numFmtId="166" fontId="0" fillId="0" borderId="0" xfId="0" applyNumberFormat="1" applyAlignment="1">
      <alignment horizontal="left"/>
    </xf>
    <xf numFmtId="166" fontId="0" fillId="0" borderId="0" xfId="0" applyNumberFormat="1" applyFont="1" applyAlignment="1">
      <alignment horizontal="left"/>
    </xf>
    <xf numFmtId="0" fontId="1" fillId="7" borderId="16" xfId="0" applyFont="1" applyFill="1" applyBorder="1" applyAlignment="1">
      <alignment horizontal="center"/>
    </xf>
    <xf numFmtId="0" fontId="11" fillId="7" borderId="0" xfId="0" applyFont="1" applyFill="1" applyBorder="1" applyAlignment="1">
      <alignment horizontal="center" vertical="center"/>
    </xf>
    <xf numFmtId="0" fontId="1" fillId="9" borderId="1" xfId="0" applyNumberFormat="1" applyFont="1" applyFill="1" applyBorder="1" applyAlignment="1">
      <alignment horizontal="center" vertical="center"/>
    </xf>
    <xf numFmtId="166" fontId="0" fillId="0" borderId="0" xfId="0" applyNumberFormat="1" applyAlignment="1">
      <alignment horizontal="right"/>
    </xf>
  </cellXfs>
  <cellStyles count="1">
    <cellStyle name="Normal" xfId="0" builtinId="0"/>
  </cellStyles>
  <dxfs count="19"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9" defaultPivotStyle="PivotStyleLight16"/>
  <colors>
    <mruColors>
      <color rgb="FFF5F5F5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4"/>
  <dimension ref="A1:I89"/>
  <sheetViews>
    <sheetView showGridLines="0" showRuler="0" view="pageLayout" workbookViewId="0">
      <selection activeCell="D9" sqref="D9"/>
    </sheetView>
  </sheetViews>
  <sheetFormatPr baseColWidth="10" defaultColWidth="11.42578125" defaultRowHeight="15"/>
  <cols>
    <col min="1" max="1" width="6" customWidth="1"/>
    <col min="2" max="2" width="17.5703125" style="53" customWidth="1"/>
    <col min="3" max="3" width="1.42578125" style="3" customWidth="1"/>
    <col min="4" max="4" width="17.42578125" style="3" customWidth="1"/>
    <col min="5" max="5" width="1.42578125" style="3" customWidth="1"/>
    <col min="6" max="6" width="17.5703125" style="53" customWidth="1"/>
    <col min="7" max="7" width="4.5703125" customWidth="1"/>
    <col min="8" max="8" width="13.5703125" customWidth="1"/>
    <col min="9" max="9" width="12.5703125" customWidth="1"/>
  </cols>
  <sheetData>
    <row r="1" spans="1:9" ht="15" customHeight="1">
      <c r="D1" s="15"/>
      <c r="E1" s="15"/>
      <c r="F1" s="52"/>
      <c r="G1" s="15"/>
      <c r="I1" s="16"/>
    </row>
    <row r="2" spans="1:9" ht="15" customHeight="1">
      <c r="D2" s="15"/>
      <c r="E2" s="15"/>
      <c r="F2" s="52"/>
      <c r="G2" s="15"/>
      <c r="I2" s="43" t="s">
        <v>123</v>
      </c>
    </row>
    <row r="3" spans="1:9" ht="74.25" customHeight="1">
      <c r="D3" s="15"/>
      <c r="E3" s="15"/>
      <c r="I3" s="76"/>
    </row>
    <row r="4" spans="1:9" ht="15" customHeight="1">
      <c r="A4" s="28"/>
      <c r="B4" s="62" t="s">
        <v>67</v>
      </c>
      <c r="D4" s="63" t="str">
        <f>+CONCATENATE("2018")</f>
        <v>2018</v>
      </c>
      <c r="E4" s="46" t="str">
        <f>+CONCATENATE("-")</f>
        <v>-</v>
      </c>
      <c r="F4" s="54">
        <v>1573</v>
      </c>
    </row>
    <row r="5" spans="1:9" ht="15.75" customHeight="1">
      <c r="A5" s="56" t="s">
        <v>7</v>
      </c>
      <c r="B5" s="69">
        <v>43170</v>
      </c>
      <c r="C5" s="69"/>
      <c r="D5" s="11"/>
      <c r="E5" s="11"/>
    </row>
    <row r="6" spans="1:9" ht="15.75">
      <c r="A6" s="56" t="s">
        <v>8</v>
      </c>
      <c r="B6" s="166" t="s">
        <v>181</v>
      </c>
      <c r="C6" s="70"/>
      <c r="D6" s="12"/>
      <c r="E6" s="12"/>
      <c r="F6" s="55"/>
      <c r="G6" s="12"/>
    </row>
    <row r="7" spans="1:9" ht="15.75">
      <c r="B7" s="56"/>
      <c r="C7" s="5"/>
      <c r="D7" s="12"/>
      <c r="E7" s="12"/>
      <c r="F7" s="55"/>
      <c r="G7" s="12"/>
    </row>
    <row r="8" spans="1:9" ht="15.75" thickBot="1">
      <c r="B8" s="56"/>
      <c r="C8" s="6"/>
      <c r="D8" s="65" t="s">
        <v>66</v>
      </c>
      <c r="E8" s="7"/>
      <c r="G8" s="123"/>
      <c r="H8" s="123"/>
      <c r="I8" s="123"/>
    </row>
    <row r="9" spans="1:9" s="123" customFormat="1" ht="16.5" thickBot="1">
      <c r="B9" s="56" t="s">
        <v>6</v>
      </c>
      <c r="C9" s="5"/>
      <c r="D9" s="66" t="s">
        <v>35</v>
      </c>
      <c r="E9" s="7"/>
      <c r="G9" s="17"/>
      <c r="H9" s="42" t="s">
        <v>3</v>
      </c>
      <c r="I9" s="8">
        <f>+COUNTA('Orden 1'!$B$14:$B$342)</f>
        <v>2</v>
      </c>
    </row>
    <row r="10" spans="1:9" ht="15.75" thickBot="1">
      <c r="B10" s="56"/>
      <c r="C10" s="4"/>
      <c r="D10" s="67" t="s">
        <v>42</v>
      </c>
      <c r="E10" s="4"/>
      <c r="F10" s="56"/>
      <c r="G10" s="17"/>
      <c r="H10" s="42" t="s">
        <v>4</v>
      </c>
      <c r="I10" s="8">
        <f>+COUNTA('Orden 1'!$D$14:$D$342)</f>
        <v>6</v>
      </c>
    </row>
    <row r="11" spans="1:9" ht="15.75" thickBot="1">
      <c r="B11" s="56"/>
      <c r="C11" s="4"/>
      <c r="D11" s="68"/>
      <c r="E11" s="4"/>
      <c r="F11" s="56"/>
      <c r="G11" s="17"/>
      <c r="H11" s="42" t="s">
        <v>5</v>
      </c>
      <c r="I11" s="8">
        <f>+COUNTA('Orden 1'!$F$14:$F$342)</f>
        <v>0</v>
      </c>
    </row>
    <row r="12" spans="1:9" ht="16.5" thickBot="1">
      <c r="C12" s="4"/>
      <c r="G12" s="18"/>
      <c r="H12" s="43"/>
    </row>
    <row r="13" spans="1:9" ht="16.5" thickBot="1">
      <c r="B13" s="57" t="s">
        <v>44</v>
      </c>
      <c r="C13" s="2"/>
      <c r="D13" s="57" t="s">
        <v>45</v>
      </c>
      <c r="E13" s="2"/>
      <c r="F13" s="57" t="s">
        <v>46</v>
      </c>
      <c r="H13" s="3"/>
    </row>
    <row r="14" spans="1:9">
      <c r="A14" s="123"/>
      <c r="B14" s="85"/>
      <c r="D14" s="85"/>
      <c r="F14" s="85"/>
      <c r="H14" s="43"/>
    </row>
    <row r="15" spans="1:9">
      <c r="B15" s="71">
        <v>1</v>
      </c>
      <c r="C15" s="146"/>
      <c r="D15" s="71">
        <v>1</v>
      </c>
      <c r="F15" s="71"/>
      <c r="H15" s="29" t="s">
        <v>72</v>
      </c>
      <c r="I15" s="9"/>
    </row>
    <row r="16" spans="1:9">
      <c r="B16" s="53">
        <v>1</v>
      </c>
      <c r="C16" s="61"/>
      <c r="D16" s="53">
        <v>1</v>
      </c>
      <c r="E16" s="145"/>
      <c r="F16" s="126"/>
      <c r="H16" s="43"/>
      <c r="I16" s="123"/>
    </row>
    <row r="17" spans="1:9">
      <c r="C17" s="126"/>
      <c r="D17" s="126">
        <v>1</v>
      </c>
      <c r="E17" s="145"/>
      <c r="F17" s="126"/>
      <c r="H17" s="158"/>
      <c r="I17" s="9"/>
    </row>
    <row r="18" spans="1:9">
      <c r="C18" s="126"/>
      <c r="D18" s="126">
        <v>1</v>
      </c>
      <c r="E18" s="145"/>
      <c r="F18" s="126"/>
      <c r="H18" s="43"/>
      <c r="I18" s="123"/>
    </row>
    <row r="19" spans="1:9">
      <c r="C19" s="126"/>
      <c r="D19" s="126">
        <v>1</v>
      </c>
      <c r="E19" s="145"/>
      <c r="F19" s="126"/>
      <c r="H19" s="44"/>
      <c r="I19" s="9"/>
    </row>
    <row r="20" spans="1:9">
      <c r="B20" s="126"/>
      <c r="C20" s="126"/>
      <c r="D20" s="126">
        <v>1</v>
      </c>
      <c r="E20" s="145"/>
      <c r="F20" s="73"/>
      <c r="H20" s="43"/>
      <c r="I20" s="123"/>
    </row>
    <row r="21" spans="1:9">
      <c r="B21" s="126"/>
      <c r="C21" s="58"/>
      <c r="D21" s="126"/>
      <c r="E21" s="145"/>
      <c r="F21" s="73"/>
      <c r="H21" s="44"/>
      <c r="I21" s="9"/>
    </row>
    <row r="22" spans="1:9">
      <c r="B22" s="126"/>
      <c r="C22" s="58"/>
      <c r="D22" s="126"/>
      <c r="E22" s="145"/>
      <c r="F22" s="73"/>
      <c r="H22" s="43"/>
      <c r="I22" s="123"/>
    </row>
    <row r="23" spans="1:9">
      <c r="B23" s="126"/>
      <c r="C23" s="59"/>
      <c r="D23" s="126"/>
      <c r="E23" s="145"/>
      <c r="F23" s="73"/>
      <c r="H23" s="44"/>
      <c r="I23" s="9"/>
    </row>
    <row r="24" spans="1:9">
      <c r="B24" s="126"/>
      <c r="C24" s="59"/>
      <c r="D24" s="126"/>
      <c r="F24" s="73"/>
      <c r="H24" s="123"/>
      <c r="I24" s="123"/>
    </row>
    <row r="25" spans="1:9">
      <c r="B25" s="126"/>
      <c r="C25" s="59"/>
      <c r="D25" s="126"/>
      <c r="F25" s="147"/>
      <c r="H25" s="9"/>
      <c r="I25" s="9"/>
    </row>
    <row r="26" spans="1:9">
      <c r="A26" s="153"/>
      <c r="B26" s="126"/>
      <c r="C26" s="58"/>
      <c r="D26" s="126"/>
      <c r="F26" s="147"/>
      <c r="H26" s="123"/>
      <c r="I26" s="123"/>
    </row>
    <row r="27" spans="1:9">
      <c r="B27" s="126"/>
      <c r="C27" s="48"/>
      <c r="D27" s="126"/>
      <c r="E27" s="48"/>
      <c r="F27" s="73"/>
      <c r="H27" s="9"/>
      <c r="I27" s="9"/>
    </row>
    <row r="28" spans="1:9">
      <c r="B28" s="126"/>
      <c r="C28" s="47"/>
      <c r="D28" s="126"/>
      <c r="E28" s="47"/>
      <c r="F28" s="144"/>
    </row>
    <row r="29" spans="1:9">
      <c r="B29" s="126"/>
      <c r="C29" s="47"/>
      <c r="D29" s="126"/>
      <c r="E29" s="47"/>
      <c r="F29" s="60"/>
    </row>
    <row r="30" spans="1:9">
      <c r="B30" s="126"/>
      <c r="C30" s="47"/>
      <c r="D30" s="126"/>
      <c r="E30" s="47"/>
      <c r="F30" s="60"/>
      <c r="H30" s="19" t="s">
        <v>68</v>
      </c>
    </row>
    <row r="31" spans="1:9">
      <c r="B31" s="126"/>
      <c r="C31" s="47"/>
      <c r="D31" s="126"/>
      <c r="E31" s="47"/>
      <c r="F31" s="60"/>
      <c r="H31" s="9"/>
      <c r="I31" s="9"/>
    </row>
    <row r="32" spans="1:9">
      <c r="B32" s="126"/>
      <c r="C32" s="47"/>
      <c r="D32" s="126"/>
      <c r="E32" s="47"/>
      <c r="F32" s="60"/>
    </row>
    <row r="33" spans="1:9">
      <c r="B33" s="126"/>
      <c r="C33" s="47"/>
      <c r="D33" s="126"/>
      <c r="E33" s="47"/>
      <c r="F33" s="60"/>
      <c r="H33" s="19" t="s">
        <v>69</v>
      </c>
    </row>
    <row r="34" spans="1:9">
      <c r="B34" s="126"/>
      <c r="C34" s="47"/>
      <c r="D34" s="126"/>
      <c r="E34" s="47"/>
      <c r="F34" s="60"/>
      <c r="H34" s="151" t="s">
        <v>54</v>
      </c>
      <c r="I34" s="152"/>
    </row>
    <row r="35" spans="1:9">
      <c r="B35" s="126"/>
      <c r="C35" s="47"/>
      <c r="D35" s="126"/>
      <c r="E35" s="47"/>
      <c r="F35" s="60"/>
    </row>
    <row r="36" spans="1:9">
      <c r="B36" s="126"/>
      <c r="C36" s="47"/>
      <c r="D36" s="126"/>
      <c r="E36" s="47"/>
      <c r="F36" s="60"/>
      <c r="H36" s="22" t="s">
        <v>12</v>
      </c>
    </row>
    <row r="37" spans="1:9">
      <c r="B37" s="58"/>
      <c r="C37" s="47"/>
      <c r="D37" s="126"/>
      <c r="E37" s="47"/>
      <c r="F37" s="60"/>
      <c r="H37" s="9">
        <f>+IF(H34= ""," ",LOOKUP(H34,Personal!A2:A63,Personal!B2:B63))</f>
        <v>6388</v>
      </c>
      <c r="I37" s="72"/>
    </row>
    <row r="38" spans="1:9">
      <c r="B38" s="58"/>
      <c r="C38" s="47"/>
      <c r="D38" s="126"/>
      <c r="E38" s="47"/>
      <c r="F38" s="60"/>
    </row>
    <row r="39" spans="1:9">
      <c r="B39" s="58"/>
      <c r="C39" s="47"/>
      <c r="D39" s="126"/>
      <c r="E39" s="47"/>
      <c r="F39" s="60"/>
      <c r="H39" s="19" t="s">
        <v>73</v>
      </c>
    </row>
    <row r="40" spans="1:9">
      <c r="B40" s="58"/>
      <c r="C40" s="47"/>
      <c r="D40" s="126"/>
      <c r="E40" s="47"/>
      <c r="F40" s="60"/>
      <c r="H40" s="9"/>
      <c r="I40" s="9"/>
    </row>
    <row r="41" spans="1:9">
      <c r="B41" s="58"/>
      <c r="C41" s="47"/>
      <c r="D41" s="126"/>
      <c r="E41" s="47"/>
      <c r="F41" s="60"/>
    </row>
    <row r="42" spans="1:9">
      <c r="B42" s="58"/>
      <c r="C42" s="47"/>
      <c r="D42" s="126"/>
      <c r="E42" s="47"/>
      <c r="F42" s="60"/>
      <c r="H42" s="19" t="s">
        <v>69</v>
      </c>
    </row>
    <row r="43" spans="1:9">
      <c r="B43" s="59"/>
      <c r="C43" s="47"/>
      <c r="D43" s="126"/>
      <c r="E43" s="47"/>
      <c r="F43" s="60"/>
      <c r="H43" s="9"/>
      <c r="I43" s="9"/>
    </row>
    <row r="44" spans="1:9">
      <c r="B44" s="59"/>
      <c r="C44" s="47"/>
      <c r="D44" s="126"/>
      <c r="E44" s="47"/>
      <c r="F44" s="60"/>
    </row>
    <row r="45" spans="1:9">
      <c r="B45" s="59"/>
      <c r="C45" s="47"/>
      <c r="D45" s="126"/>
      <c r="E45" s="47"/>
      <c r="F45" s="60"/>
      <c r="H45" s="22" t="s">
        <v>74</v>
      </c>
    </row>
    <row r="46" spans="1:9">
      <c r="B46" s="59"/>
      <c r="C46" s="47"/>
      <c r="D46" s="126"/>
      <c r="E46" s="47"/>
      <c r="F46" s="60"/>
      <c r="H46" s="9"/>
      <c r="I46" s="9"/>
    </row>
    <row r="47" spans="1:9">
      <c r="B47" s="59"/>
      <c r="C47" s="47"/>
      <c r="D47" s="126"/>
      <c r="E47" s="47"/>
      <c r="F47" s="60"/>
      <c r="H47" s="43"/>
    </row>
    <row r="48" spans="1:9">
      <c r="A48" s="3"/>
      <c r="B48" s="58"/>
      <c r="D48" s="126"/>
      <c r="F48" s="61"/>
      <c r="G48" s="3"/>
      <c r="H48" s="3"/>
      <c r="I48" s="3"/>
    </row>
    <row r="49" spans="1:9">
      <c r="A49" s="3"/>
      <c r="B49" s="61"/>
      <c r="D49" s="126"/>
      <c r="F49" s="61"/>
      <c r="G49" s="3"/>
      <c r="H49" s="3"/>
      <c r="I49" s="3"/>
    </row>
    <row r="50" spans="1:9">
      <c r="A50" s="3"/>
      <c r="B50" s="61"/>
      <c r="D50" s="126"/>
      <c r="F50" s="61"/>
      <c r="G50" s="3"/>
      <c r="H50" s="3"/>
      <c r="I50" s="3"/>
    </row>
    <row r="51" spans="1:9">
      <c r="A51" s="3"/>
      <c r="B51" s="61"/>
      <c r="D51" s="126"/>
      <c r="F51" s="61"/>
      <c r="G51" s="3"/>
      <c r="H51" s="3"/>
      <c r="I51" s="3"/>
    </row>
    <row r="52" spans="1:9">
      <c r="D52" s="126"/>
    </row>
    <row r="53" spans="1:9">
      <c r="D53" s="126"/>
    </row>
    <row r="54" spans="1:9">
      <c r="D54" s="126"/>
    </row>
    <row r="55" spans="1:9">
      <c r="D55" s="126"/>
    </row>
    <row r="56" spans="1:9">
      <c r="D56" s="126"/>
    </row>
    <row r="57" spans="1:9">
      <c r="D57" s="126"/>
    </row>
    <row r="58" spans="1:9">
      <c r="D58" s="126"/>
    </row>
    <row r="59" spans="1:9">
      <c r="D59" s="126"/>
    </row>
    <row r="60" spans="1:9">
      <c r="D60" s="126"/>
    </row>
    <row r="61" spans="1:9">
      <c r="D61" s="126"/>
    </row>
    <row r="62" spans="1:9">
      <c r="D62" s="84"/>
    </row>
    <row r="63" spans="1:9">
      <c r="D63" s="84"/>
    </row>
    <row r="64" spans="1:9">
      <c r="D64" s="84"/>
    </row>
    <row r="65" spans="4:4">
      <c r="D65" s="84"/>
    </row>
    <row r="66" spans="4:4">
      <c r="D66" s="84"/>
    </row>
    <row r="67" spans="4:4">
      <c r="D67" s="84"/>
    </row>
    <row r="68" spans="4:4">
      <c r="D68" s="84"/>
    </row>
    <row r="69" spans="4:4">
      <c r="D69" s="84"/>
    </row>
    <row r="70" spans="4:4">
      <c r="D70" s="84"/>
    </row>
    <row r="71" spans="4:4">
      <c r="D71" s="84"/>
    </row>
    <row r="72" spans="4:4">
      <c r="D72" s="84"/>
    </row>
    <row r="73" spans="4:4">
      <c r="D73" s="84"/>
    </row>
    <row r="74" spans="4:4">
      <c r="D74" s="84"/>
    </row>
    <row r="75" spans="4:4">
      <c r="D75" s="84"/>
    </row>
    <row r="76" spans="4:4">
      <c r="D76" s="147"/>
    </row>
    <row r="77" spans="4:4">
      <c r="D77" s="147"/>
    </row>
    <row r="78" spans="4:4">
      <c r="D78" s="147"/>
    </row>
    <row r="79" spans="4:4">
      <c r="D79" s="147"/>
    </row>
    <row r="80" spans="4:4">
      <c r="D80" s="147"/>
    </row>
    <row r="81" spans="4:4">
      <c r="D81" s="147"/>
    </row>
    <row r="82" spans="4:4">
      <c r="D82" s="147"/>
    </row>
    <row r="83" spans="4:4">
      <c r="D83" s="147"/>
    </row>
    <row r="84" spans="4:4">
      <c r="D84" s="147"/>
    </row>
    <row r="85" spans="4:4">
      <c r="D85" s="147"/>
    </row>
    <row r="86" spans="4:4">
      <c r="D86" s="147"/>
    </row>
    <row r="87" spans="4:4">
      <c r="D87" s="147"/>
    </row>
    <row r="88" spans="4:4">
      <c r="D88" s="147"/>
    </row>
    <row r="89" spans="4:4">
      <c r="D89" s="147"/>
    </row>
  </sheetData>
  <sheetProtection formatCells="0"/>
  <protectedRanges>
    <protectedRange sqref="F27:F500 F14 F20:F24" name="Rango10"/>
    <protectedRange sqref="F25:F26 D88:D500 D30:D85" name="Rango9"/>
    <protectedRange sqref="B14 B22:B500" name="Rango5"/>
    <protectedRange sqref="H34" name="Rango7"/>
    <protectedRange sqref="F4" name="Rango9_1"/>
    <protectedRange sqref="I9:I11" name="Rango6_1"/>
    <protectedRange sqref="D11" name="Rango4_1"/>
    <protectedRange sqref="D9" name="Rango3_1"/>
    <protectedRange sqref="D24:D29" name="Rango11"/>
    <protectedRange sqref="F15" name="Rango12"/>
    <protectedRange sqref="B21" name="Rango10_1"/>
    <protectedRange sqref="F16:F19" name="Rango12_1"/>
    <protectedRange sqref="H37" name="Rango8_1"/>
    <protectedRange sqref="B20" name="Rango10_3"/>
  </protectedRanges>
  <conditionalFormatting sqref="F27:F500 F14:F15 F18:F24">
    <cfRule type="duplicateValues" dxfId="18" priority="16"/>
  </conditionalFormatting>
  <conditionalFormatting sqref="B14:B500">
    <cfRule type="duplicateValues" dxfId="17" priority="19"/>
  </conditionalFormatting>
  <conditionalFormatting sqref="F25:F26 D14:D15 D18:D500 F16:F17">
    <cfRule type="duplicateValues" dxfId="16" priority="20"/>
  </conditionalFormatting>
  <conditionalFormatting sqref="D17:D29 D15">
    <cfRule type="duplicateValues" dxfId="15" priority="9"/>
  </conditionalFormatting>
  <conditionalFormatting sqref="F15">
    <cfRule type="duplicateValues" dxfId="14" priority="8"/>
  </conditionalFormatting>
  <conditionalFormatting sqref="B19:B21">
    <cfRule type="duplicateValues" dxfId="13" priority="7"/>
  </conditionalFormatting>
  <conditionalFormatting sqref="F16:F19">
    <cfRule type="duplicateValues" dxfId="12" priority="6"/>
  </conditionalFormatting>
  <conditionalFormatting sqref="B15:B16">
    <cfRule type="duplicateValues" dxfId="11" priority="5"/>
  </conditionalFormatting>
  <conditionalFormatting sqref="F18">
    <cfRule type="duplicateValues" dxfId="10" priority="4"/>
  </conditionalFormatting>
  <conditionalFormatting sqref="F19">
    <cfRule type="duplicateValues" dxfId="9" priority="3"/>
  </conditionalFormatting>
  <conditionalFormatting sqref="B20">
    <cfRule type="duplicateValues" dxfId="8" priority="2"/>
  </conditionalFormatting>
  <conditionalFormatting sqref="B15">
    <cfRule type="duplicateValues" dxfId="7" priority="1"/>
  </conditionalFormatting>
  <dataValidations count="2">
    <dataValidation type="list" allowBlank="1" showInputMessage="1" showErrorMessage="1" sqref="H34">
      <formula1>PERSONAL</formula1>
    </dataValidation>
    <dataValidation type="list" allowBlank="1" showInputMessage="1" showErrorMessage="1" sqref="D9">
      <formula1 xml:space="preserve"> listanueva</formula1>
    </dataValidation>
  </dataValidations>
  <pageMargins left="0.31496062992125984" right="0.31496062992125984" top="0.39370078740157483" bottom="0.19685039370078741" header="0" footer="0.19685039370078741"/>
  <pageSetup paperSize="9" orientation="portrait" cellComments="atEnd" copies="3" r:id="rId1"/>
  <headerFooter>
    <oddHeader>&amp;L&amp;G&amp;C&amp;"-,Negrita"&amp;20INFORME DE 
UNIDADES IRRADIADAS&amp;R&amp;"-,Negrita"Centro Regional 
de Hemoterapia</oddHeader>
    <firstHeader xml:space="preserve">&amp;R&amp;"-,Negrita"&amp;12
</firstHeader>
  </headerFooter>
  <rowBreaks count="1" manualBreakCount="1">
    <brk id="47" max="8" man="1"/>
  </rowBreaks>
  <legacy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6"/>
  <dimension ref="A1:I62"/>
  <sheetViews>
    <sheetView showGridLines="0" showRuler="0" view="pageLayout" workbookViewId="0">
      <selection activeCell="D9" sqref="D9"/>
    </sheetView>
  </sheetViews>
  <sheetFormatPr baseColWidth="10" defaultColWidth="11.42578125" defaultRowHeight="15"/>
  <cols>
    <col min="1" max="1" width="6" customWidth="1"/>
    <col min="2" max="2" width="17.5703125" style="53" customWidth="1"/>
    <col min="3" max="3" width="1.42578125" style="3" customWidth="1"/>
    <col min="4" max="4" width="17.5703125" style="53" customWidth="1"/>
    <col min="5" max="5" width="1.42578125" style="3" customWidth="1"/>
    <col min="6" max="6" width="17.5703125" style="53" customWidth="1"/>
    <col min="7" max="7" width="4.5703125" customWidth="1"/>
    <col min="8" max="8" width="13.5703125" customWidth="1"/>
    <col min="9" max="9" width="12.5703125" customWidth="1"/>
  </cols>
  <sheetData>
    <row r="1" spans="1:9" ht="15" customHeight="1">
      <c r="D1" s="52"/>
      <c r="E1" s="15"/>
      <c r="F1" s="52"/>
      <c r="G1" s="15"/>
      <c r="I1" s="16"/>
    </row>
    <row r="2" spans="1:9" ht="15" customHeight="1">
      <c r="D2" s="52"/>
      <c r="E2" s="15"/>
      <c r="F2" s="52"/>
      <c r="G2" s="15"/>
      <c r="I2" s="43" t="s">
        <v>123</v>
      </c>
    </row>
    <row r="3" spans="1:9" ht="74.25" customHeight="1">
      <c r="D3" s="52"/>
      <c r="E3" s="15"/>
      <c r="I3" s="76"/>
    </row>
    <row r="4" spans="1:9" ht="15" customHeight="1">
      <c r="A4" s="28"/>
      <c r="B4" s="62" t="s">
        <v>67</v>
      </c>
      <c r="D4" s="63" t="str">
        <f>+CONCATENATE("2018")</f>
        <v>2018</v>
      </c>
      <c r="E4" s="46" t="str">
        <f>+CONCATENATE("-")</f>
        <v>-</v>
      </c>
      <c r="F4" s="54">
        <v>1578</v>
      </c>
    </row>
    <row r="5" spans="1:9" ht="15.75" customHeight="1">
      <c r="A5" s="56" t="s">
        <v>7</v>
      </c>
      <c r="B5" s="69">
        <f ca="1">+TODAY()</f>
        <v>43224</v>
      </c>
      <c r="C5" s="69"/>
      <c r="D5" s="69"/>
      <c r="E5" s="11"/>
    </row>
    <row r="6" spans="1:9" ht="15.75">
      <c r="A6" s="56" t="s">
        <v>8</v>
      </c>
      <c r="B6" s="70">
        <f ca="1">+NOW()</f>
        <v>43224.457183564817</v>
      </c>
      <c r="C6" s="70"/>
      <c r="D6" s="70"/>
      <c r="E6" s="12"/>
      <c r="F6" s="55"/>
      <c r="G6" s="12"/>
    </row>
    <row r="7" spans="1:9" ht="15.75">
      <c r="B7" s="56"/>
      <c r="C7" s="5"/>
      <c r="D7" s="64"/>
      <c r="E7" s="12"/>
      <c r="F7" s="55"/>
      <c r="G7" s="12"/>
    </row>
    <row r="8" spans="1:9" ht="15.75" thickBot="1">
      <c r="B8" s="56"/>
      <c r="C8" s="6"/>
      <c r="D8" s="65" t="s">
        <v>66</v>
      </c>
      <c r="E8" s="7"/>
    </row>
    <row r="9" spans="1:9" ht="16.5" thickBot="1">
      <c r="B9" s="56" t="s">
        <v>6</v>
      </c>
      <c r="C9" s="5"/>
      <c r="D9" s="66"/>
      <c r="E9" s="7"/>
      <c r="G9" s="17"/>
      <c r="H9" s="42" t="s">
        <v>3</v>
      </c>
      <c r="I9" s="8">
        <f>+COUNTA('Orden 3'!$B$14:$B$342)</f>
        <v>0</v>
      </c>
    </row>
    <row r="10" spans="1:9" ht="15.75" thickBot="1">
      <c r="B10" s="56"/>
      <c r="C10" s="4"/>
      <c r="D10" s="67" t="s">
        <v>42</v>
      </c>
      <c r="E10" s="4"/>
      <c r="F10" s="56"/>
      <c r="G10" s="17"/>
      <c r="H10" s="42" t="s">
        <v>4</v>
      </c>
      <c r="I10" s="8">
        <f>+COUNTA('Orden 3'!$D$14:$D$342)</f>
        <v>0</v>
      </c>
    </row>
    <row r="11" spans="1:9" ht="15.75" thickBot="1">
      <c r="B11" s="56"/>
      <c r="C11" s="4"/>
      <c r="D11" s="68"/>
      <c r="E11" s="4"/>
      <c r="F11" s="56"/>
      <c r="G11" s="17"/>
      <c r="H11" s="42" t="s">
        <v>5</v>
      </c>
      <c r="I11" s="8">
        <f>+COUNTA('Orden 3'!$F$14:$F$342)</f>
        <v>0</v>
      </c>
    </row>
    <row r="12" spans="1:9" ht="16.5" thickBot="1">
      <c r="C12" s="4"/>
      <c r="G12" s="45"/>
      <c r="H12" s="43"/>
    </row>
    <row r="13" spans="1:9" ht="16.5" thickBot="1">
      <c r="B13" s="57" t="s">
        <v>44</v>
      </c>
      <c r="C13" s="2"/>
      <c r="D13" s="57" t="s">
        <v>45</v>
      </c>
      <c r="E13" s="2"/>
      <c r="F13" s="57" t="s">
        <v>46</v>
      </c>
      <c r="H13" s="43"/>
    </row>
    <row r="14" spans="1:9">
      <c r="B14" s="123"/>
      <c r="C14"/>
      <c r="D14"/>
      <c r="E14"/>
      <c r="F14"/>
      <c r="H14" s="43"/>
    </row>
    <row r="15" spans="1:9">
      <c r="C15" s="48"/>
      <c r="E15" s="48"/>
      <c r="F15" s="71"/>
      <c r="G15" s="3"/>
      <c r="H15" s="29" t="s">
        <v>72</v>
      </c>
      <c r="I15" s="9"/>
    </row>
    <row r="16" spans="1:9">
      <c r="C16" s="85"/>
      <c r="E16" s="51"/>
      <c r="G16" s="3"/>
      <c r="H16" s="43"/>
    </row>
    <row r="17" spans="2:9">
      <c r="C17" s="48"/>
      <c r="D17" s="126"/>
      <c r="E17" s="48"/>
      <c r="G17" s="3"/>
      <c r="H17" s="44"/>
      <c r="I17" s="9"/>
    </row>
    <row r="18" spans="2:9">
      <c r="C18" s="48"/>
      <c r="D18" s="126"/>
      <c r="E18" s="48"/>
      <c r="G18" s="3"/>
      <c r="H18" s="43"/>
    </row>
    <row r="19" spans="2:9">
      <c r="C19" s="48"/>
      <c r="D19" s="126"/>
      <c r="E19" s="48"/>
      <c r="G19" s="3"/>
      <c r="H19" s="44"/>
      <c r="I19" s="9"/>
    </row>
    <row r="20" spans="2:9">
      <c r="C20" s="48"/>
      <c r="D20" s="126"/>
      <c r="E20" s="48"/>
      <c r="F20" s="84"/>
      <c r="G20" s="3"/>
      <c r="H20" s="43"/>
    </row>
    <row r="21" spans="2:9">
      <c r="B21" s="126"/>
      <c r="C21" s="48"/>
      <c r="D21" s="126"/>
      <c r="E21" s="48"/>
      <c r="F21" s="59"/>
      <c r="H21" s="44"/>
      <c r="I21" s="9"/>
    </row>
    <row r="22" spans="2:9">
      <c r="B22" s="126"/>
      <c r="C22" s="48"/>
      <c r="D22" s="126"/>
      <c r="E22" s="48"/>
      <c r="F22" s="59"/>
      <c r="H22" s="43"/>
    </row>
    <row r="23" spans="2:9">
      <c r="B23" s="126"/>
      <c r="C23" s="48"/>
      <c r="D23" s="126"/>
      <c r="E23" s="48"/>
      <c r="F23" s="59"/>
      <c r="H23" s="44"/>
      <c r="I23" s="9"/>
    </row>
    <row r="24" spans="2:9">
      <c r="B24" s="126"/>
      <c r="C24" s="48"/>
      <c r="D24" s="126"/>
      <c r="E24" s="48"/>
      <c r="F24" s="59"/>
    </row>
    <row r="25" spans="2:9">
      <c r="B25" s="126"/>
      <c r="C25" s="48"/>
      <c r="D25" s="126"/>
      <c r="E25" s="48"/>
      <c r="F25" s="59"/>
      <c r="H25" s="9"/>
      <c r="I25" s="9"/>
    </row>
    <row r="26" spans="2:9">
      <c r="B26" s="126"/>
      <c r="C26" s="48"/>
      <c r="D26" s="126"/>
      <c r="E26" s="48"/>
      <c r="F26" s="59"/>
    </row>
    <row r="27" spans="2:9">
      <c r="B27" s="51"/>
      <c r="C27" s="48"/>
      <c r="D27" s="126"/>
      <c r="E27" s="48"/>
      <c r="F27" s="59"/>
      <c r="H27" s="9"/>
      <c r="I27" s="9"/>
    </row>
    <row r="28" spans="2:9">
      <c r="B28" s="51"/>
      <c r="C28" s="47"/>
      <c r="D28" s="126"/>
      <c r="E28" s="47"/>
      <c r="F28" s="60"/>
    </row>
    <row r="29" spans="2:9">
      <c r="B29" s="51"/>
      <c r="C29" s="47"/>
      <c r="D29" s="126"/>
      <c r="E29" s="47"/>
      <c r="F29" s="60"/>
    </row>
    <row r="30" spans="2:9">
      <c r="B30" s="51"/>
      <c r="C30" s="47"/>
      <c r="D30" s="126"/>
      <c r="E30" s="47"/>
      <c r="F30" s="60"/>
      <c r="H30" s="19" t="s">
        <v>68</v>
      </c>
    </row>
    <row r="31" spans="2:9">
      <c r="B31" s="51"/>
      <c r="C31" s="47"/>
      <c r="D31" s="126"/>
      <c r="E31" s="47"/>
      <c r="F31" s="60"/>
      <c r="H31" s="9"/>
      <c r="I31" s="9"/>
    </row>
    <row r="32" spans="2:9">
      <c r="B32" s="51"/>
      <c r="C32" s="47"/>
      <c r="D32" s="126"/>
      <c r="E32" s="47"/>
      <c r="F32" s="60"/>
    </row>
    <row r="33" spans="1:9">
      <c r="B33" s="51"/>
      <c r="C33" s="47"/>
      <c r="D33" s="126"/>
      <c r="E33" s="47"/>
      <c r="F33" s="60"/>
      <c r="H33" s="19" t="s">
        <v>69</v>
      </c>
    </row>
    <row r="34" spans="1:9">
      <c r="B34" s="51"/>
      <c r="C34" s="47"/>
      <c r="D34" s="126"/>
      <c r="E34" s="47"/>
      <c r="F34" s="60"/>
      <c r="H34" s="151" t="s">
        <v>93</v>
      </c>
      <c r="I34" s="152"/>
    </row>
    <row r="35" spans="1:9">
      <c r="B35" s="51"/>
      <c r="C35" s="47"/>
      <c r="D35" s="126"/>
      <c r="E35" s="47"/>
      <c r="F35" s="60"/>
    </row>
    <row r="36" spans="1:9">
      <c r="B36" s="51"/>
      <c r="C36" s="47"/>
      <c r="D36" s="126"/>
      <c r="E36" s="47"/>
      <c r="F36" s="60"/>
      <c r="H36" s="22" t="s">
        <v>12</v>
      </c>
    </row>
    <row r="37" spans="1:9">
      <c r="B37" s="59"/>
      <c r="C37" s="47"/>
      <c r="D37" s="126"/>
      <c r="E37" s="47"/>
      <c r="F37" s="60"/>
      <c r="H37" s="9">
        <f>+IF(H34= ""," ",LOOKUP(H34,Personal!A2:A63,Personal!B2:B63))</f>
        <v>4975</v>
      </c>
      <c r="I37" s="72"/>
    </row>
    <row r="38" spans="1:9">
      <c r="B38" s="59"/>
      <c r="C38" s="47"/>
      <c r="D38" s="126"/>
      <c r="E38" s="47"/>
      <c r="F38" s="60"/>
    </row>
    <row r="39" spans="1:9">
      <c r="B39" s="59"/>
      <c r="C39" s="47"/>
      <c r="D39" s="126"/>
      <c r="E39" s="47"/>
      <c r="F39" s="60"/>
      <c r="H39" s="19" t="s">
        <v>73</v>
      </c>
    </row>
    <row r="40" spans="1:9">
      <c r="B40" s="59"/>
      <c r="C40" s="47"/>
      <c r="D40" s="126"/>
      <c r="E40" s="47"/>
      <c r="F40" s="60"/>
      <c r="H40" s="9"/>
      <c r="I40" s="9"/>
    </row>
    <row r="41" spans="1:9">
      <c r="B41" s="59"/>
      <c r="C41" s="47"/>
      <c r="D41" s="126"/>
      <c r="E41" s="47"/>
      <c r="F41" s="60"/>
    </row>
    <row r="42" spans="1:9">
      <c r="B42" s="59"/>
      <c r="C42" s="47"/>
      <c r="D42" s="126"/>
      <c r="E42" s="47"/>
      <c r="F42" s="60"/>
      <c r="H42" s="19" t="s">
        <v>69</v>
      </c>
    </row>
    <row r="43" spans="1:9">
      <c r="B43" s="59"/>
      <c r="C43" s="47"/>
      <c r="D43" s="126"/>
      <c r="E43" s="47"/>
      <c r="F43" s="60"/>
      <c r="H43" s="9"/>
      <c r="I43" s="9"/>
    </row>
    <row r="44" spans="1:9">
      <c r="B44" s="59"/>
      <c r="C44" s="47"/>
      <c r="D44" s="126"/>
      <c r="E44" s="47"/>
      <c r="F44" s="60"/>
    </row>
    <row r="45" spans="1:9">
      <c r="B45" s="59"/>
      <c r="C45" s="47"/>
      <c r="D45" s="126"/>
      <c r="E45" s="47"/>
      <c r="F45" s="60"/>
      <c r="H45" s="22" t="s">
        <v>74</v>
      </c>
    </row>
    <row r="46" spans="1:9">
      <c r="B46" s="59"/>
      <c r="C46" s="47"/>
      <c r="D46" s="126"/>
      <c r="E46" s="47"/>
      <c r="F46" s="60"/>
      <c r="H46" s="9"/>
      <c r="I46" s="9"/>
    </row>
    <row r="47" spans="1:9">
      <c r="B47" s="59"/>
      <c r="C47" s="47"/>
      <c r="D47" s="126"/>
      <c r="E47" s="47"/>
      <c r="F47" s="60"/>
      <c r="H47" s="43"/>
    </row>
    <row r="48" spans="1:9">
      <c r="A48" s="3"/>
      <c r="B48" s="58"/>
      <c r="D48" s="51"/>
      <c r="F48" s="61"/>
      <c r="G48" s="3"/>
      <c r="H48" s="3"/>
      <c r="I48" s="3"/>
    </row>
    <row r="49" spans="1:9">
      <c r="A49" s="3"/>
      <c r="B49" s="61"/>
      <c r="D49" s="51"/>
      <c r="F49" s="61"/>
      <c r="G49" s="3"/>
      <c r="H49" s="3"/>
      <c r="I49" s="3"/>
    </row>
    <row r="50" spans="1:9">
      <c r="A50" s="3"/>
      <c r="B50" s="61"/>
      <c r="D50" s="51"/>
      <c r="F50" s="61"/>
      <c r="G50" s="3"/>
      <c r="H50" s="3"/>
      <c r="I50" s="3"/>
    </row>
    <row r="51" spans="1:9">
      <c r="A51" s="3"/>
      <c r="B51" s="61"/>
      <c r="D51" s="51"/>
      <c r="F51" s="61"/>
      <c r="G51" s="3"/>
      <c r="H51" s="3"/>
      <c r="I51" s="3"/>
    </row>
    <row r="52" spans="1:9">
      <c r="D52" s="58"/>
    </row>
    <row r="53" spans="1:9">
      <c r="D53" s="58"/>
    </row>
    <row r="54" spans="1:9">
      <c r="D54" s="58"/>
    </row>
    <row r="55" spans="1:9">
      <c r="D55" s="58"/>
    </row>
    <row r="56" spans="1:9">
      <c r="D56" s="58"/>
    </row>
    <row r="57" spans="1:9">
      <c r="D57" s="58"/>
    </row>
    <row r="58" spans="1:9">
      <c r="D58" s="58"/>
    </row>
    <row r="59" spans="1:9">
      <c r="D59" s="58"/>
    </row>
    <row r="60" spans="1:9">
      <c r="D60" s="58"/>
    </row>
    <row r="61" spans="1:9">
      <c r="D61" s="58"/>
    </row>
    <row r="62" spans="1:9">
      <c r="D62" s="58"/>
    </row>
  </sheetData>
  <sheetProtection formatCells="0"/>
  <protectedRanges>
    <protectedRange sqref="F14:F15 F20:F500" name="Rango12"/>
    <protectedRange sqref="D17:D500 D14" name="Rango11"/>
    <protectedRange sqref="B14 B21:B500" name="Rango10"/>
    <protectedRange sqref="F4" name="Rango9"/>
    <protectedRange sqref="D9" name="Rango3"/>
    <protectedRange sqref="D11" name="Rango4"/>
    <protectedRange sqref="I9:I11" name="Rango6"/>
    <protectedRange sqref="H34" name="Rango7"/>
    <protectedRange sqref="H37" name="Rango8"/>
  </protectedRanges>
  <conditionalFormatting sqref="B21:B300">
    <cfRule type="duplicateValues" dxfId="6" priority="4"/>
  </conditionalFormatting>
  <conditionalFormatting sqref="F15 F20:F300">
    <cfRule type="duplicateValues" dxfId="5" priority="2"/>
  </conditionalFormatting>
  <conditionalFormatting sqref="D17:D300">
    <cfRule type="duplicateValues" dxfId="4" priority="6"/>
  </conditionalFormatting>
  <dataValidations count="2">
    <dataValidation type="list" allowBlank="1" showInputMessage="1" showErrorMessage="1" sqref="D9">
      <formula1 xml:space="preserve"> listanueva</formula1>
    </dataValidation>
    <dataValidation type="list" allowBlank="1" showInputMessage="1" showErrorMessage="1" sqref="H34">
      <formula1>PERSONAL</formula1>
    </dataValidation>
  </dataValidations>
  <pageMargins left="0.31496062992125984" right="0.31496062992125984" top="0.39370078740157483" bottom="0.19685039370078741" header="0" footer="0.19685039370078741"/>
  <pageSetup paperSize="9" orientation="portrait" cellComments="atEnd" copies="3" r:id="rId1"/>
  <headerFooter>
    <oddHeader>&amp;L&amp;G&amp;C&amp;"-,Negrita"&amp;20INFORME DE 
UNIDADES IRRADIADAS&amp;R&amp;"-,Negrita"Centro Regional 
de Hemoterapia</oddHeader>
    <firstHeader xml:space="preserve">&amp;R&amp;"-,Negrita"&amp;12
</firstHeader>
  </headerFooter>
  <rowBreaks count="1" manualBreakCount="1">
    <brk id="47" max="8" man="1"/>
  </rowBreaks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7"/>
  <dimension ref="A1:I90"/>
  <sheetViews>
    <sheetView showGridLines="0" showRuler="0" view="pageLayout" workbookViewId="0">
      <selection activeCell="B20" sqref="B20"/>
    </sheetView>
  </sheetViews>
  <sheetFormatPr baseColWidth="10" defaultRowHeight="15"/>
  <cols>
    <col min="1" max="1" width="8" customWidth="1"/>
    <col min="2" max="2" width="17.5703125" customWidth="1"/>
    <col min="3" max="3" width="2.7109375" style="3" customWidth="1"/>
    <col min="4" max="4" width="17.5703125" customWidth="1"/>
    <col min="5" max="5" width="2.7109375" style="3" customWidth="1"/>
    <col min="6" max="6" width="17.5703125" customWidth="1"/>
    <col min="7" max="7" width="2.7109375" customWidth="1"/>
    <col min="8" max="8" width="17.42578125" customWidth="1"/>
    <col min="9" max="9" width="8" customWidth="1"/>
  </cols>
  <sheetData>
    <row r="1" spans="2:9" s="123" customFormat="1">
      <c r="C1" s="3"/>
      <c r="E1" s="3"/>
    </row>
    <row r="2" spans="2:9" s="123" customFormat="1">
      <c r="C2" s="3"/>
      <c r="E2" s="3"/>
      <c r="I2" s="43" t="s">
        <v>124</v>
      </c>
    </row>
    <row r="3" spans="2:9" s="123" customFormat="1">
      <c r="C3" s="3"/>
      <c r="E3" s="3"/>
      <c r="I3" s="43"/>
    </row>
    <row r="4" spans="2:9" s="123" customFormat="1" ht="15.75" thickBot="1">
      <c r="C4" s="3"/>
      <c r="E4" s="3"/>
    </row>
    <row r="5" spans="2:9" s="123" customFormat="1" ht="15.75" thickBot="1">
      <c r="C5" s="3"/>
      <c r="E5" s="3"/>
      <c r="H5" s="42" t="s">
        <v>165</v>
      </c>
      <c r="I5" s="8">
        <f>+COUNTA(GARRAHAN!$B$14:$B$499)</f>
        <v>5</v>
      </c>
    </row>
    <row r="6" spans="2:9" ht="15" customHeight="1" thickBot="1">
      <c r="B6" s="159" t="s">
        <v>49</v>
      </c>
      <c r="C6" s="159"/>
      <c r="D6" s="159"/>
      <c r="E6" s="160"/>
      <c r="F6" s="160"/>
      <c r="G6" s="28"/>
      <c r="H6" s="42" t="s">
        <v>4</v>
      </c>
      <c r="I6" s="8">
        <f>+COUNTA(GARRAHAN!$D$14:$D$499)</f>
        <v>0</v>
      </c>
    </row>
    <row r="7" spans="2:9" ht="15" customHeight="1" thickBot="1">
      <c r="B7" s="159" t="s">
        <v>48</v>
      </c>
      <c r="C7" s="159"/>
      <c r="D7" s="159"/>
      <c r="E7" s="161"/>
      <c r="F7" s="162"/>
      <c r="G7" s="28"/>
      <c r="H7" s="42" t="s">
        <v>5</v>
      </c>
      <c r="I7" s="8">
        <f>+COUNTA(GARRAHAN!$F$14:$F$499)</f>
        <v>0</v>
      </c>
    </row>
    <row r="8" spans="2:9" ht="15" customHeight="1" thickBot="1">
      <c r="B8" s="39" t="s">
        <v>50</v>
      </c>
      <c r="C8" s="39"/>
      <c r="D8" s="5"/>
      <c r="E8" s="75"/>
      <c r="F8" s="74"/>
      <c r="G8" s="28"/>
      <c r="H8" s="42" t="s">
        <v>47</v>
      </c>
      <c r="I8" s="8">
        <f>+COUNTA(GARRAHAN!$H$14:$H$499)</f>
        <v>0</v>
      </c>
    </row>
    <row r="9" spans="2:9" ht="15" customHeight="1">
      <c r="B9" s="4"/>
      <c r="C9" s="5"/>
      <c r="D9" s="21"/>
      <c r="G9" s="28"/>
    </row>
    <row r="10" spans="2:9" ht="15" customHeight="1">
      <c r="B10" s="4" t="s">
        <v>129</v>
      </c>
      <c r="C10" s="86"/>
      <c r="D10" s="87"/>
      <c r="E10" s="9"/>
      <c r="F10" s="9"/>
      <c r="G10" s="88"/>
      <c r="H10" s="89"/>
      <c r="I10" s="38"/>
    </row>
    <row r="11" spans="2:9" ht="15" customHeight="1">
      <c r="B11" s="90"/>
      <c r="C11" s="86"/>
      <c r="D11" s="87"/>
      <c r="E11" s="9"/>
      <c r="F11" s="9"/>
      <c r="G11" s="88"/>
      <c r="H11" s="89"/>
      <c r="I11" s="38"/>
    </row>
    <row r="12" spans="2:9" ht="15" customHeight="1" thickBot="1">
      <c r="B12" s="4"/>
      <c r="C12" s="5"/>
      <c r="D12" s="21"/>
      <c r="G12" s="28"/>
      <c r="H12" s="37"/>
      <c r="I12" s="38"/>
    </row>
    <row r="13" spans="2:9" ht="16.5" thickBot="1">
      <c r="B13" s="121" t="s">
        <v>128</v>
      </c>
      <c r="C13" s="2"/>
      <c r="D13" s="10" t="s">
        <v>45</v>
      </c>
      <c r="E13" s="2"/>
      <c r="F13" s="10" t="s">
        <v>46</v>
      </c>
      <c r="G13" s="18"/>
      <c r="H13" s="10" t="s">
        <v>164</v>
      </c>
    </row>
    <row r="14" spans="2:9">
      <c r="D14" s="124"/>
      <c r="F14" s="124"/>
      <c r="G14" s="3"/>
      <c r="H14" s="93"/>
    </row>
    <row r="15" spans="2:9">
      <c r="B15" s="123" t="s">
        <v>176</v>
      </c>
      <c r="D15" s="123"/>
      <c r="F15" s="122"/>
      <c r="G15" s="3"/>
      <c r="H15" s="123"/>
    </row>
    <row r="16" spans="2:9">
      <c r="B16" s="123" t="s">
        <v>177</v>
      </c>
      <c r="D16" s="123"/>
      <c r="F16" s="126"/>
      <c r="G16" s="3"/>
      <c r="H16" s="123"/>
    </row>
    <row r="17" spans="1:8">
      <c r="B17" s="125" t="s">
        <v>178</v>
      </c>
      <c r="D17" s="125"/>
      <c r="F17" s="126"/>
      <c r="G17" s="3"/>
      <c r="H17" s="123"/>
    </row>
    <row r="18" spans="1:8">
      <c r="B18" s="125" t="s">
        <v>179</v>
      </c>
      <c r="D18" s="125"/>
      <c r="F18" s="126"/>
      <c r="G18" s="3"/>
      <c r="H18" s="125"/>
    </row>
    <row r="19" spans="1:8">
      <c r="B19" s="126" t="s">
        <v>180</v>
      </c>
      <c r="D19" s="125"/>
      <c r="F19" s="126"/>
      <c r="G19" s="3"/>
      <c r="H19" s="125"/>
    </row>
    <row r="20" spans="1:8">
      <c r="A20" s="126"/>
      <c r="B20" s="126"/>
      <c r="D20" s="125"/>
      <c r="F20" s="91"/>
      <c r="G20" s="3"/>
      <c r="H20" s="125"/>
    </row>
    <row r="21" spans="1:8">
      <c r="B21" s="126"/>
      <c r="D21" s="125"/>
      <c r="F21" s="92"/>
      <c r="G21" s="3"/>
      <c r="H21" s="125"/>
    </row>
    <row r="22" spans="1:8">
      <c r="B22" s="126"/>
      <c r="D22" s="125"/>
      <c r="F22" s="92"/>
      <c r="G22" s="3"/>
      <c r="H22" s="92"/>
    </row>
    <row r="23" spans="1:8">
      <c r="B23" s="126"/>
      <c r="C23"/>
      <c r="D23" s="125"/>
      <c r="F23" s="92"/>
      <c r="G23" s="3"/>
      <c r="H23" s="92"/>
    </row>
    <row r="24" spans="1:8">
      <c r="B24" s="126"/>
      <c r="D24" s="125"/>
      <c r="F24" s="126"/>
      <c r="G24" s="3"/>
      <c r="H24" s="92"/>
    </row>
    <row r="25" spans="1:8">
      <c r="B25" s="126"/>
      <c r="D25" s="125"/>
      <c r="F25" s="126"/>
      <c r="G25" s="3"/>
      <c r="H25" s="92"/>
    </row>
    <row r="26" spans="1:8">
      <c r="B26" s="126"/>
      <c r="D26" s="125"/>
      <c r="F26" s="126"/>
      <c r="G26" s="3"/>
      <c r="H26" s="148"/>
    </row>
    <row r="27" spans="1:8">
      <c r="B27" s="126"/>
      <c r="D27" s="73"/>
      <c r="F27" s="126"/>
      <c r="G27" s="3"/>
      <c r="H27" s="148"/>
    </row>
    <row r="28" spans="1:8">
      <c r="B28" s="126"/>
      <c r="D28" s="73"/>
      <c r="F28" s="126"/>
      <c r="G28" s="3"/>
      <c r="H28" s="148"/>
    </row>
    <row r="29" spans="1:8">
      <c r="B29" s="126"/>
      <c r="D29" s="73"/>
      <c r="F29" s="126"/>
      <c r="G29" s="3"/>
      <c r="H29" s="3"/>
    </row>
    <row r="30" spans="1:8">
      <c r="B30" s="126"/>
      <c r="D30" s="73"/>
      <c r="F30" s="126"/>
      <c r="G30" s="3"/>
      <c r="H30" s="3"/>
    </row>
    <row r="31" spans="1:8">
      <c r="B31" s="126"/>
      <c r="D31" s="73"/>
      <c r="F31" s="126"/>
      <c r="G31" s="3"/>
      <c r="H31" s="3"/>
    </row>
    <row r="32" spans="1:8">
      <c r="B32" s="126"/>
      <c r="D32" s="73"/>
      <c r="F32" s="126"/>
      <c r="G32" s="3"/>
    </row>
    <row r="33" spans="2:8">
      <c r="B33" s="126"/>
      <c r="D33" s="73"/>
      <c r="F33" s="126"/>
      <c r="G33" s="3"/>
      <c r="H33" s="19"/>
    </row>
    <row r="34" spans="2:8">
      <c r="B34" s="126"/>
      <c r="D34" s="73"/>
      <c r="F34" s="126"/>
      <c r="G34" s="3"/>
    </row>
    <row r="35" spans="2:8">
      <c r="B35" s="126"/>
      <c r="D35" s="73"/>
      <c r="F35" s="126"/>
      <c r="G35" s="3"/>
      <c r="H35" s="3"/>
    </row>
    <row r="36" spans="2:8">
      <c r="B36" s="126"/>
      <c r="D36" s="73"/>
      <c r="F36" s="126"/>
      <c r="G36" s="3"/>
      <c r="H36" s="3"/>
    </row>
    <row r="37" spans="2:8">
      <c r="B37" s="126"/>
      <c r="D37" s="73"/>
      <c r="F37" s="126"/>
      <c r="G37" s="3"/>
      <c r="H37" s="3"/>
    </row>
    <row r="38" spans="2:8">
      <c r="B38" s="126"/>
      <c r="D38" s="73"/>
      <c r="F38" s="3"/>
      <c r="G38" s="3"/>
      <c r="H38" s="3"/>
    </row>
    <row r="39" spans="2:8">
      <c r="B39" s="126"/>
      <c r="D39" s="73"/>
      <c r="F39" s="3"/>
      <c r="G39" s="3"/>
      <c r="H39" s="3"/>
    </row>
    <row r="40" spans="2:8">
      <c r="B40" s="126"/>
      <c r="D40" s="73"/>
      <c r="F40" s="3"/>
      <c r="G40" s="3"/>
      <c r="H40" s="3"/>
    </row>
    <row r="41" spans="2:8">
      <c r="B41" s="126"/>
      <c r="D41" s="73"/>
      <c r="F41" s="3"/>
      <c r="G41" s="3"/>
      <c r="H41" s="3"/>
    </row>
    <row r="42" spans="2:8">
      <c r="B42" s="126"/>
      <c r="D42" s="73"/>
      <c r="F42" s="3"/>
      <c r="G42" s="3"/>
      <c r="H42" s="3"/>
    </row>
    <row r="43" spans="2:8">
      <c r="B43" s="126"/>
      <c r="D43" s="73"/>
      <c r="F43" s="3"/>
      <c r="G43" s="3"/>
      <c r="H43" s="3"/>
    </row>
    <row r="44" spans="2:8">
      <c r="B44" s="126"/>
      <c r="D44" s="73"/>
      <c r="F44" s="3"/>
      <c r="G44" s="3"/>
      <c r="H44" s="3"/>
    </row>
    <row r="45" spans="2:8">
      <c r="B45" s="126"/>
      <c r="C45" s="14"/>
      <c r="D45" s="73"/>
      <c r="E45" s="14"/>
      <c r="F45" s="14"/>
      <c r="G45" s="14"/>
      <c r="H45" s="14"/>
    </row>
    <row r="46" spans="2:8">
      <c r="B46" s="126"/>
      <c r="D46" s="73"/>
    </row>
    <row r="47" spans="2:8">
      <c r="B47" s="126"/>
      <c r="D47" s="73"/>
    </row>
    <row r="48" spans="2:8">
      <c r="B48" s="126"/>
      <c r="D48" s="73"/>
    </row>
    <row r="49" spans="1:9">
      <c r="B49" s="126"/>
      <c r="D49" s="73"/>
    </row>
    <row r="50" spans="1:9">
      <c r="B50" s="126"/>
      <c r="D50" s="73"/>
    </row>
    <row r="51" spans="1:9">
      <c r="B51" s="126"/>
      <c r="D51" s="73"/>
    </row>
    <row r="52" spans="1:9">
      <c r="B52" s="126"/>
      <c r="D52" s="73"/>
    </row>
    <row r="53" spans="1:9">
      <c r="B53" s="126"/>
      <c r="D53" s="73"/>
    </row>
    <row r="54" spans="1:9">
      <c r="B54" s="126"/>
      <c r="D54" s="73"/>
    </row>
    <row r="55" spans="1:9" s="3" customFormat="1">
      <c r="A55"/>
      <c r="B55" s="126"/>
      <c r="D55" s="73"/>
      <c r="F55"/>
      <c r="G55"/>
      <c r="H55"/>
      <c r="I55"/>
    </row>
    <row r="56" spans="1:9">
      <c r="B56" s="126"/>
      <c r="D56" s="73"/>
    </row>
    <row r="57" spans="1:9">
      <c r="B57" s="126"/>
      <c r="D57" s="73"/>
    </row>
    <row r="58" spans="1:9">
      <c r="B58" s="126"/>
      <c r="D58" s="73"/>
    </row>
    <row r="59" spans="1:9">
      <c r="B59" s="126"/>
      <c r="D59" s="73"/>
    </row>
    <row r="60" spans="1:9">
      <c r="B60" s="126"/>
      <c r="D60" s="73"/>
    </row>
    <row r="61" spans="1:9">
      <c r="B61" s="126"/>
      <c r="D61" s="73"/>
    </row>
    <row r="62" spans="1:9">
      <c r="B62" s="126"/>
      <c r="D62" s="73"/>
    </row>
    <row r="63" spans="1:9">
      <c r="B63" s="126"/>
      <c r="D63" s="73"/>
    </row>
    <row r="64" spans="1:9">
      <c r="B64" s="126"/>
      <c r="D64" s="73"/>
    </row>
    <row r="65" spans="2:4">
      <c r="B65" s="126"/>
      <c r="D65" s="73"/>
    </row>
    <row r="66" spans="2:4">
      <c r="B66" s="126"/>
      <c r="D66" s="73"/>
    </row>
    <row r="67" spans="2:4">
      <c r="B67" s="126"/>
      <c r="D67" s="73"/>
    </row>
    <row r="68" spans="2:4">
      <c r="B68" s="126"/>
      <c r="D68" s="73"/>
    </row>
    <row r="69" spans="2:4">
      <c r="B69" s="126"/>
      <c r="D69" s="73"/>
    </row>
    <row r="70" spans="2:4">
      <c r="B70" s="126"/>
      <c r="D70" s="73"/>
    </row>
    <row r="71" spans="2:4">
      <c r="B71" s="126"/>
      <c r="D71" s="73"/>
    </row>
    <row r="72" spans="2:4">
      <c r="B72" s="51"/>
      <c r="D72" s="73"/>
    </row>
    <row r="73" spans="2:4">
      <c r="B73" s="51"/>
      <c r="D73" s="73"/>
    </row>
    <row r="74" spans="2:4">
      <c r="B74" s="51"/>
      <c r="D74" s="73"/>
    </row>
    <row r="75" spans="2:4">
      <c r="B75" s="51"/>
      <c r="D75" s="73"/>
    </row>
    <row r="76" spans="2:4">
      <c r="B76" s="51"/>
      <c r="D76" s="73"/>
    </row>
    <row r="77" spans="2:4">
      <c r="B77" s="51"/>
      <c r="D77" s="73"/>
    </row>
    <row r="78" spans="2:4">
      <c r="B78" s="51"/>
      <c r="D78" s="73"/>
    </row>
    <row r="79" spans="2:4">
      <c r="B79" s="51"/>
    </row>
    <row r="80" spans="2:4">
      <c r="B80" s="51"/>
    </row>
    <row r="81" spans="2:2">
      <c r="B81" s="51"/>
    </row>
    <row r="82" spans="2:2">
      <c r="B82" s="51"/>
    </row>
    <row r="83" spans="2:2">
      <c r="B83" s="51"/>
    </row>
    <row r="84" spans="2:2">
      <c r="B84" s="51"/>
    </row>
    <row r="85" spans="2:2">
      <c r="B85" s="51"/>
    </row>
    <row r="86" spans="2:2">
      <c r="B86" s="51"/>
    </row>
    <row r="87" spans="2:2">
      <c r="B87" s="51"/>
    </row>
    <row r="88" spans="2:2">
      <c r="B88" s="51"/>
    </row>
    <row r="89" spans="2:2">
      <c r="B89" s="51"/>
    </row>
    <row r="90" spans="2:2">
      <c r="B90" s="51"/>
    </row>
  </sheetData>
  <protectedRanges>
    <protectedRange sqref="B28:B499 G14:G26 C27:H499 H22:H26 F20:F23" name="Rango4"/>
    <protectedRange sqref="F8" name="Rango3"/>
    <protectedRange sqref="I5:I8" name="Rango2"/>
    <protectedRange sqref="D14 F14" name="Rango4_1"/>
    <protectedRange sqref="A20 F15:F19 B19:B20" name="Rango4_1_1_1"/>
    <protectedRange sqref="F24:F26" name="Rango4_2_1_1"/>
  </protectedRanges>
  <mergeCells count="4">
    <mergeCell ref="B7:D7"/>
    <mergeCell ref="B6:D6"/>
    <mergeCell ref="E6:F6"/>
    <mergeCell ref="E7:F7"/>
  </mergeCells>
  <conditionalFormatting sqref="B19:B500 F15:F19">
    <cfRule type="duplicateValues" dxfId="3" priority="7"/>
  </conditionalFormatting>
  <conditionalFormatting sqref="F14 F20:F500">
    <cfRule type="duplicateValues" dxfId="2" priority="6"/>
  </conditionalFormatting>
  <conditionalFormatting sqref="D14:D500">
    <cfRule type="duplicateValues" dxfId="1" priority="5"/>
  </conditionalFormatting>
  <conditionalFormatting sqref="H14:H500">
    <cfRule type="duplicateValues" dxfId="0" priority="4"/>
  </conditionalFormatting>
  <dataValidations count="1">
    <dataValidation type="list" allowBlank="1" showInputMessage="1" showErrorMessage="1" sqref="F8">
      <formula1>inicialesaux</formula1>
    </dataValidation>
  </dataValidations>
  <pageMargins left="0.31496062992125984" right="0.31496062992125984" top="0.39370078740157483" bottom="0.19685039370078741" header="0" footer="0.19685039370078741"/>
  <pageSetup paperSize="9" orientation="portrait" r:id="rId1"/>
  <headerFooter>
    <oddHeader>&amp;L&amp;G&amp;C&amp;"-,Negrita"&amp;20INFORME DE 
UNIDADES IRRADIADAS&amp;R&amp;"-,Negrita"Centro Regional 
de Hemoterapia</oddHeader>
    <firstHeader xml:space="preserve">&amp;R&amp;"-,Negrita"&amp;12
</firstHead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2">
    <tabColor theme="1"/>
  </sheetPr>
  <dimension ref="A1:M501"/>
  <sheetViews>
    <sheetView tabSelected="1" topLeftCell="A44" workbookViewId="0">
      <selection activeCell="H45" sqref="H45"/>
    </sheetView>
  </sheetViews>
  <sheetFormatPr baseColWidth="10" defaultRowHeight="15"/>
  <cols>
    <col min="1" max="1" width="15.42578125" style="23" customWidth="1"/>
    <col min="2" max="2" width="15.42578125" style="138" customWidth="1"/>
    <col min="3" max="3" width="26.7109375" style="1" customWidth="1"/>
    <col min="4" max="4" width="22.5703125" style="1" customWidth="1"/>
    <col min="5" max="5" width="12.140625" style="1" customWidth="1"/>
    <col min="6" max="6" width="12" style="1" customWidth="1"/>
    <col min="7" max="7" width="11.85546875" style="1" customWidth="1"/>
    <col min="8" max="8" width="12.7109375" style="32" customWidth="1"/>
    <col min="9" max="9" width="5.7109375" customWidth="1"/>
    <col min="10" max="10" width="11.42578125" style="13"/>
    <col min="11" max="11" width="11.42578125" style="77"/>
  </cols>
  <sheetData>
    <row r="1" spans="1:13" ht="24" customHeight="1">
      <c r="A1" s="24" t="s">
        <v>9</v>
      </c>
      <c r="B1" s="134" t="s">
        <v>43</v>
      </c>
      <c r="C1" s="25" t="s">
        <v>41</v>
      </c>
      <c r="D1" s="25" t="s">
        <v>42</v>
      </c>
      <c r="E1" s="25" t="s">
        <v>0</v>
      </c>
      <c r="F1" s="25" t="s">
        <v>1</v>
      </c>
      <c r="G1" s="25" t="s">
        <v>2</v>
      </c>
      <c r="H1" s="31" t="s">
        <v>40</v>
      </c>
      <c r="J1" s="127" t="s">
        <v>162</v>
      </c>
      <c r="K1" s="128" t="s">
        <v>163</v>
      </c>
      <c r="L1" s="139">
        <v>0.79166666666666663</v>
      </c>
    </row>
    <row r="2" spans="1:13" s="123" customFormat="1" ht="24" customHeight="1">
      <c r="A2" s="26"/>
      <c r="B2" s="135"/>
      <c r="C2" s="30"/>
      <c r="D2" s="30"/>
      <c r="E2" s="30"/>
      <c r="F2" s="30"/>
      <c r="G2" s="27"/>
      <c r="H2" s="31"/>
      <c r="J2" s="127"/>
      <c r="K2" s="128"/>
      <c r="L2" s="139"/>
    </row>
    <row r="3" spans="1:13" s="123" customFormat="1" ht="24" customHeight="1">
      <c r="A3" s="26">
        <v>43170</v>
      </c>
      <c r="B3" s="135" t="s">
        <v>181</v>
      </c>
      <c r="C3" s="30" t="s">
        <v>35</v>
      </c>
      <c r="D3" s="30"/>
      <c r="E3" s="30">
        <v>2</v>
      </c>
      <c r="F3" s="30">
        <v>6</v>
      </c>
      <c r="G3" s="27">
        <v>0</v>
      </c>
      <c r="H3" s="165">
        <f>+H4+1</f>
        <v>1573</v>
      </c>
      <c r="J3" s="127">
        <f>+ROUNDUP(F3/4,0)</f>
        <v>2</v>
      </c>
      <c r="K3" s="128">
        <f>+ROUNDUP(G3/2,0)</f>
        <v>0</v>
      </c>
      <c r="L3" s="123" t="e">
        <f t="shared" ref="L3:L205" si="0">+IF(M3 &gt; $L$1,"SI","NO")</f>
        <v>#VALUE!</v>
      </c>
      <c r="M3" s="140" t="e">
        <f t="shared" ref="M3:M205" si="1">+MOD(B3,1)</f>
        <v>#VALUE!</v>
      </c>
    </row>
    <row r="4" spans="1:13" s="123" customFormat="1" ht="24" customHeight="1">
      <c r="A4" s="26">
        <v>43220</v>
      </c>
      <c r="B4" s="135">
        <v>43220.773771180553</v>
      </c>
      <c r="C4" s="30" t="s">
        <v>20</v>
      </c>
      <c r="D4" s="30"/>
      <c r="E4" s="30">
        <v>4</v>
      </c>
      <c r="F4" s="30">
        <v>0</v>
      </c>
      <c r="G4" s="27">
        <v>0</v>
      </c>
      <c r="H4" s="31">
        <f t="shared" ref="H4:H38" si="2">+H5+1</f>
        <v>1572</v>
      </c>
      <c r="J4" s="127">
        <f t="shared" ref="J4:J38" si="3">+ROUNDUP(F4/4,0)</f>
        <v>0</v>
      </c>
      <c r="K4" s="128">
        <f t="shared" ref="K4:K38" si="4">+ROUNDUP(G4/2,0)</f>
        <v>0</v>
      </c>
      <c r="L4" s="123" t="str">
        <f t="shared" si="0"/>
        <v>NO</v>
      </c>
      <c r="M4" s="140">
        <f t="shared" si="1"/>
        <v>0.77377118055301253</v>
      </c>
    </row>
    <row r="5" spans="1:13" s="123" customFormat="1" ht="24" customHeight="1">
      <c r="A5" s="26">
        <v>43220</v>
      </c>
      <c r="B5" s="135">
        <v>43220.618814814814</v>
      </c>
      <c r="C5" s="30" t="s">
        <v>13</v>
      </c>
      <c r="D5" s="30"/>
      <c r="E5" s="30">
        <v>0</v>
      </c>
      <c r="F5" s="30">
        <v>18</v>
      </c>
      <c r="G5" s="27">
        <v>0</v>
      </c>
      <c r="H5" s="165">
        <f t="shared" si="2"/>
        <v>1571</v>
      </c>
      <c r="J5" s="127">
        <f t="shared" si="3"/>
        <v>5</v>
      </c>
      <c r="K5" s="128">
        <f t="shared" si="4"/>
        <v>0</v>
      </c>
      <c r="L5" s="123" t="str">
        <f t="shared" si="0"/>
        <v>NO</v>
      </c>
      <c r="M5" s="140">
        <f t="shared" si="1"/>
        <v>0.61881481481395895</v>
      </c>
    </row>
    <row r="6" spans="1:13" s="123" customFormat="1" ht="24" customHeight="1">
      <c r="A6" s="26">
        <v>43220</v>
      </c>
      <c r="B6" s="135">
        <v>43220.568183796298</v>
      </c>
      <c r="C6" s="30" t="s">
        <v>28</v>
      </c>
      <c r="D6" s="30"/>
      <c r="E6" s="30">
        <v>9</v>
      </c>
      <c r="F6" s="30">
        <v>0</v>
      </c>
      <c r="G6" s="27">
        <v>0</v>
      </c>
      <c r="H6" s="165">
        <f t="shared" si="2"/>
        <v>1570</v>
      </c>
      <c r="J6" s="127">
        <f t="shared" si="3"/>
        <v>0</v>
      </c>
      <c r="K6" s="128">
        <f t="shared" si="4"/>
        <v>0</v>
      </c>
      <c r="L6" s="123" t="str">
        <f t="shared" si="0"/>
        <v>NO</v>
      </c>
      <c r="M6" s="140">
        <f t="shared" si="1"/>
        <v>0.5681837962983991</v>
      </c>
    </row>
    <row r="7" spans="1:13" s="123" customFormat="1" ht="24" customHeight="1">
      <c r="A7" s="26">
        <v>43220</v>
      </c>
      <c r="B7" s="135">
        <v>43220.551228472221</v>
      </c>
      <c r="C7" s="30" t="s">
        <v>33</v>
      </c>
      <c r="D7" s="30"/>
      <c r="E7" s="30">
        <v>3</v>
      </c>
      <c r="F7" s="30">
        <v>7</v>
      </c>
      <c r="G7" s="27">
        <v>0</v>
      </c>
      <c r="H7" s="165">
        <f t="shared" si="2"/>
        <v>1569</v>
      </c>
      <c r="J7" s="127">
        <f t="shared" si="3"/>
        <v>2</v>
      </c>
      <c r="K7" s="128">
        <f t="shared" si="4"/>
        <v>0</v>
      </c>
      <c r="L7" s="123" t="str">
        <f t="shared" si="0"/>
        <v>NO</v>
      </c>
      <c r="M7" s="140">
        <f t="shared" si="1"/>
        <v>0.55122847222082783</v>
      </c>
    </row>
    <row r="8" spans="1:13" s="123" customFormat="1" ht="24" customHeight="1">
      <c r="A8" s="26">
        <v>43220</v>
      </c>
      <c r="B8" s="135">
        <v>43220.410517129632</v>
      </c>
      <c r="C8" s="30" t="s">
        <v>13</v>
      </c>
      <c r="D8" s="30"/>
      <c r="E8" s="30">
        <v>12</v>
      </c>
      <c r="F8" s="30">
        <v>29</v>
      </c>
      <c r="G8" s="27">
        <v>1</v>
      </c>
      <c r="H8" s="165">
        <f t="shared" si="2"/>
        <v>1568</v>
      </c>
      <c r="J8" s="127">
        <f t="shared" si="3"/>
        <v>8</v>
      </c>
      <c r="K8" s="128">
        <f t="shared" si="4"/>
        <v>1</v>
      </c>
      <c r="L8" s="123" t="str">
        <f t="shared" si="0"/>
        <v>NO</v>
      </c>
      <c r="M8" s="140">
        <f t="shared" si="1"/>
        <v>0.41051712963235332</v>
      </c>
    </row>
    <row r="9" spans="1:13" s="123" customFormat="1" ht="24" customHeight="1">
      <c r="A9" s="26">
        <v>43220</v>
      </c>
      <c r="B9" s="135">
        <v>43220.37730104167</v>
      </c>
      <c r="C9" s="30" t="s">
        <v>13</v>
      </c>
      <c r="D9" s="30"/>
      <c r="E9" s="30">
        <v>20</v>
      </c>
      <c r="F9" s="30">
        <v>40</v>
      </c>
      <c r="G9" s="27">
        <v>2</v>
      </c>
      <c r="H9" s="165">
        <f t="shared" si="2"/>
        <v>1567</v>
      </c>
      <c r="J9" s="127">
        <f t="shared" si="3"/>
        <v>10</v>
      </c>
      <c r="K9" s="128">
        <f t="shared" si="4"/>
        <v>1</v>
      </c>
      <c r="L9" s="123" t="str">
        <f t="shared" si="0"/>
        <v>NO</v>
      </c>
      <c r="M9" s="140">
        <f t="shared" si="1"/>
        <v>0.37730104166985257</v>
      </c>
    </row>
    <row r="10" spans="1:13" s="123" customFormat="1" ht="24" customHeight="1">
      <c r="A10" s="26">
        <v>43220</v>
      </c>
      <c r="B10" s="135">
        <v>43220.298632986109</v>
      </c>
      <c r="C10" s="30" t="s">
        <v>36</v>
      </c>
      <c r="D10" s="30"/>
      <c r="E10" s="30">
        <v>0</v>
      </c>
      <c r="F10" s="30">
        <v>6</v>
      </c>
      <c r="G10" s="27">
        <v>0</v>
      </c>
      <c r="H10" s="165">
        <f t="shared" si="2"/>
        <v>1566</v>
      </c>
      <c r="J10" s="127">
        <f t="shared" si="3"/>
        <v>2</v>
      </c>
      <c r="K10" s="128">
        <f t="shared" si="4"/>
        <v>0</v>
      </c>
      <c r="L10" s="123" t="str">
        <f t="shared" si="0"/>
        <v>NO</v>
      </c>
      <c r="M10" s="140">
        <f t="shared" si="1"/>
        <v>0.29863298610871425</v>
      </c>
    </row>
    <row r="11" spans="1:13" s="123" customFormat="1" ht="24" customHeight="1">
      <c r="A11" s="26">
        <v>43219</v>
      </c>
      <c r="B11" s="135">
        <v>43219.806220486113</v>
      </c>
      <c r="C11" s="30" t="s">
        <v>13</v>
      </c>
      <c r="D11" s="30"/>
      <c r="E11" s="30">
        <v>6</v>
      </c>
      <c r="F11" s="30">
        <v>26</v>
      </c>
      <c r="G11" s="27">
        <v>0</v>
      </c>
      <c r="H11" s="165">
        <f t="shared" si="2"/>
        <v>1565</v>
      </c>
      <c r="J11" s="127">
        <f t="shared" si="3"/>
        <v>7</v>
      </c>
      <c r="K11" s="128">
        <f t="shared" si="4"/>
        <v>0</v>
      </c>
      <c r="L11" s="123" t="str">
        <f t="shared" si="0"/>
        <v>SI</v>
      </c>
      <c r="M11" s="140">
        <f t="shared" si="1"/>
        <v>0.80622048611257924</v>
      </c>
    </row>
    <row r="12" spans="1:13" s="123" customFormat="1" ht="24" customHeight="1">
      <c r="A12" s="26">
        <v>43219</v>
      </c>
      <c r="B12" s="135">
        <v>43219.770381944443</v>
      </c>
      <c r="C12" s="30" t="s">
        <v>36</v>
      </c>
      <c r="D12" s="30"/>
      <c r="E12" s="30">
        <v>1</v>
      </c>
      <c r="F12" s="30">
        <v>10</v>
      </c>
      <c r="G12" s="27">
        <v>0</v>
      </c>
      <c r="H12" s="31">
        <f t="shared" si="2"/>
        <v>1564</v>
      </c>
      <c r="J12" s="127">
        <f t="shared" si="3"/>
        <v>3</v>
      </c>
      <c r="K12" s="128">
        <f t="shared" si="4"/>
        <v>0</v>
      </c>
      <c r="L12" s="123" t="str">
        <f t="shared" si="0"/>
        <v>NO</v>
      </c>
      <c r="M12" s="140">
        <f t="shared" si="1"/>
        <v>0.77038194444321562</v>
      </c>
    </row>
    <row r="13" spans="1:13" s="123" customFormat="1" ht="24" customHeight="1">
      <c r="A13" s="26">
        <v>43219</v>
      </c>
      <c r="B13" s="135">
        <v>43219.7083255787</v>
      </c>
      <c r="C13" s="30" t="s">
        <v>36</v>
      </c>
      <c r="D13" s="30"/>
      <c r="E13" s="30">
        <v>0</v>
      </c>
      <c r="F13" s="30">
        <v>3</v>
      </c>
      <c r="G13" s="27">
        <v>0</v>
      </c>
      <c r="H13" s="165">
        <f t="shared" si="2"/>
        <v>1563</v>
      </c>
      <c r="J13" s="127">
        <f t="shared" si="3"/>
        <v>1</v>
      </c>
      <c r="K13" s="128">
        <f t="shared" si="4"/>
        <v>0</v>
      </c>
      <c r="L13" s="123" t="str">
        <f t="shared" si="0"/>
        <v>NO</v>
      </c>
      <c r="M13" s="140">
        <f t="shared" si="1"/>
        <v>0.70832557870016899</v>
      </c>
    </row>
    <row r="14" spans="1:13" s="123" customFormat="1" ht="24" customHeight="1">
      <c r="A14" s="26">
        <v>43219</v>
      </c>
      <c r="B14" s="135">
        <v>43219.607952546299</v>
      </c>
      <c r="C14" s="30" t="s">
        <v>36</v>
      </c>
      <c r="D14" s="30"/>
      <c r="E14" s="30">
        <v>0</v>
      </c>
      <c r="F14" s="30">
        <v>7</v>
      </c>
      <c r="G14" s="27">
        <v>0</v>
      </c>
      <c r="H14" s="165">
        <f t="shared" si="2"/>
        <v>1562</v>
      </c>
      <c r="J14" s="127">
        <f t="shared" si="3"/>
        <v>2</v>
      </c>
      <c r="K14" s="128">
        <f t="shared" si="4"/>
        <v>0</v>
      </c>
      <c r="L14" s="123" t="str">
        <f t="shared" si="0"/>
        <v>NO</v>
      </c>
      <c r="M14" s="140">
        <f t="shared" si="1"/>
        <v>0.60795254629920237</v>
      </c>
    </row>
    <row r="15" spans="1:13" s="123" customFormat="1" ht="24" customHeight="1">
      <c r="A15" s="26">
        <v>43219</v>
      </c>
      <c r="B15" s="135">
        <v>43219.580483217593</v>
      </c>
      <c r="C15" s="30" t="s">
        <v>84</v>
      </c>
      <c r="D15" s="30"/>
      <c r="E15" s="30">
        <v>3</v>
      </c>
      <c r="F15" s="30">
        <v>8</v>
      </c>
      <c r="G15" s="27">
        <v>0</v>
      </c>
      <c r="H15" s="31">
        <f t="shared" si="2"/>
        <v>1561</v>
      </c>
      <c r="J15" s="127">
        <f t="shared" si="3"/>
        <v>2</v>
      </c>
      <c r="K15" s="128">
        <f t="shared" si="4"/>
        <v>0</v>
      </c>
      <c r="L15" s="123" t="str">
        <f t="shared" si="0"/>
        <v>NO</v>
      </c>
      <c r="M15" s="140">
        <f t="shared" si="1"/>
        <v>0.58048321759270038</v>
      </c>
    </row>
    <row r="16" spans="1:13" s="123" customFormat="1" ht="24" customHeight="1">
      <c r="A16" s="26">
        <v>43219</v>
      </c>
      <c r="B16" s="135">
        <v>43219.473516782411</v>
      </c>
      <c r="C16" s="30" t="s">
        <v>24</v>
      </c>
      <c r="D16" s="30"/>
      <c r="E16" s="30">
        <v>7</v>
      </c>
      <c r="F16" s="30">
        <v>4</v>
      </c>
      <c r="G16" s="27">
        <v>0</v>
      </c>
      <c r="H16" s="31">
        <f t="shared" si="2"/>
        <v>1560</v>
      </c>
      <c r="J16" s="127">
        <f t="shared" si="3"/>
        <v>1</v>
      </c>
      <c r="K16" s="128">
        <f t="shared" si="4"/>
        <v>0</v>
      </c>
      <c r="L16" s="123" t="str">
        <f t="shared" si="0"/>
        <v>NO</v>
      </c>
      <c r="M16" s="140">
        <f t="shared" si="1"/>
        <v>0.47351678241102491</v>
      </c>
    </row>
    <row r="17" spans="1:13" s="123" customFormat="1" ht="24" customHeight="1">
      <c r="A17" s="26">
        <v>43219</v>
      </c>
      <c r="B17" s="135">
        <v>43219.461068171295</v>
      </c>
      <c r="C17" s="30" t="s">
        <v>18</v>
      </c>
      <c r="D17" s="30"/>
      <c r="E17" s="30">
        <v>1</v>
      </c>
      <c r="F17" s="30">
        <v>7</v>
      </c>
      <c r="G17" s="27">
        <v>0</v>
      </c>
      <c r="H17" s="31">
        <f t="shared" si="2"/>
        <v>1559</v>
      </c>
      <c r="J17" s="127">
        <f t="shared" si="3"/>
        <v>2</v>
      </c>
      <c r="K17" s="128">
        <f t="shared" si="4"/>
        <v>0</v>
      </c>
      <c r="L17" s="123" t="str">
        <f t="shared" si="0"/>
        <v>NO</v>
      </c>
      <c r="M17" s="140">
        <f t="shared" si="1"/>
        <v>0.4610681712947553</v>
      </c>
    </row>
    <row r="18" spans="1:13" s="123" customFormat="1" ht="24" customHeight="1">
      <c r="A18" s="26">
        <v>43218</v>
      </c>
      <c r="B18" s="135">
        <v>43218.828898263891</v>
      </c>
      <c r="C18" s="30" t="s">
        <v>20</v>
      </c>
      <c r="D18" s="30"/>
      <c r="E18" s="30">
        <v>10</v>
      </c>
      <c r="F18" s="30">
        <v>31</v>
      </c>
      <c r="G18" s="27">
        <v>2</v>
      </c>
      <c r="H18" s="31">
        <f t="shared" si="2"/>
        <v>1558</v>
      </c>
      <c r="J18" s="127">
        <f t="shared" si="3"/>
        <v>8</v>
      </c>
      <c r="K18" s="128">
        <f t="shared" si="4"/>
        <v>1</v>
      </c>
      <c r="L18" s="123" t="str">
        <f t="shared" si="0"/>
        <v>SI</v>
      </c>
      <c r="M18" s="140">
        <f t="shared" si="1"/>
        <v>0.82889826389146037</v>
      </c>
    </row>
    <row r="19" spans="1:13" s="123" customFormat="1" ht="24" customHeight="1">
      <c r="A19" s="26">
        <v>43218</v>
      </c>
      <c r="B19" s="135">
        <v>43218.819791203707</v>
      </c>
      <c r="C19" s="30" t="s">
        <v>36</v>
      </c>
      <c r="D19" s="30"/>
      <c r="E19" s="30">
        <v>1</v>
      </c>
      <c r="F19" s="30">
        <v>0</v>
      </c>
      <c r="G19" s="27">
        <v>0</v>
      </c>
      <c r="H19" s="165">
        <f t="shared" si="2"/>
        <v>1557</v>
      </c>
      <c r="J19" s="127">
        <f t="shared" si="3"/>
        <v>0</v>
      </c>
      <c r="K19" s="128">
        <f t="shared" si="4"/>
        <v>0</v>
      </c>
      <c r="L19" s="123" t="str">
        <f t="shared" si="0"/>
        <v>SI</v>
      </c>
      <c r="M19" s="140">
        <f t="shared" si="1"/>
        <v>0.81979120370669989</v>
      </c>
    </row>
    <row r="20" spans="1:13" s="123" customFormat="1" ht="24" customHeight="1">
      <c r="A20" s="26">
        <v>43218</v>
      </c>
      <c r="B20" s="135">
        <v>43218.811230671294</v>
      </c>
      <c r="C20" s="30" t="s">
        <v>28</v>
      </c>
      <c r="D20" s="30"/>
      <c r="E20" s="30">
        <v>0</v>
      </c>
      <c r="F20" s="30">
        <v>16</v>
      </c>
      <c r="G20" s="27">
        <v>0</v>
      </c>
      <c r="H20" s="31">
        <f t="shared" si="2"/>
        <v>1556</v>
      </c>
      <c r="J20" s="127">
        <f t="shared" si="3"/>
        <v>4</v>
      </c>
      <c r="K20" s="128">
        <f t="shared" si="4"/>
        <v>0</v>
      </c>
      <c r="L20" s="123" t="str">
        <f t="shared" si="0"/>
        <v>SI</v>
      </c>
      <c r="M20" s="140">
        <f t="shared" si="1"/>
        <v>0.81123067129374249</v>
      </c>
    </row>
    <row r="21" spans="1:13" s="123" customFormat="1" ht="24" customHeight="1">
      <c r="A21" s="26">
        <v>43218</v>
      </c>
      <c r="B21" s="135">
        <v>43218.743029976853</v>
      </c>
      <c r="C21" s="30" t="s">
        <v>36</v>
      </c>
      <c r="D21" s="30"/>
      <c r="E21" s="30">
        <v>1</v>
      </c>
      <c r="F21" s="30">
        <v>0</v>
      </c>
      <c r="G21" s="27">
        <v>0</v>
      </c>
      <c r="H21" s="165">
        <f t="shared" si="2"/>
        <v>1555</v>
      </c>
      <c r="J21" s="127">
        <f t="shared" si="3"/>
        <v>0</v>
      </c>
      <c r="K21" s="128">
        <f t="shared" si="4"/>
        <v>0</v>
      </c>
      <c r="L21" s="123" t="str">
        <f t="shared" si="0"/>
        <v>NO</v>
      </c>
      <c r="M21" s="140">
        <f t="shared" si="1"/>
        <v>0.74302997685299488</v>
      </c>
    </row>
    <row r="22" spans="1:13" s="123" customFormat="1" ht="24" customHeight="1">
      <c r="A22" s="26">
        <v>43218</v>
      </c>
      <c r="B22" s="135">
        <v>43218.741656365739</v>
      </c>
      <c r="C22" s="30" t="s">
        <v>107</v>
      </c>
      <c r="D22" s="30"/>
      <c r="E22" s="30">
        <v>6</v>
      </c>
      <c r="F22" s="30">
        <v>6</v>
      </c>
      <c r="G22" s="27">
        <v>0</v>
      </c>
      <c r="H22" s="31">
        <f t="shared" si="2"/>
        <v>1554</v>
      </c>
      <c r="J22" s="127">
        <f t="shared" si="3"/>
        <v>2</v>
      </c>
      <c r="K22" s="128">
        <f t="shared" si="4"/>
        <v>0</v>
      </c>
      <c r="L22" s="123" t="str">
        <f t="shared" si="0"/>
        <v>NO</v>
      </c>
      <c r="M22" s="140">
        <f t="shared" si="1"/>
        <v>0.7416563657388906</v>
      </c>
    </row>
    <row r="23" spans="1:13" s="123" customFormat="1" ht="24" customHeight="1">
      <c r="A23" s="26">
        <v>43218</v>
      </c>
      <c r="B23" s="135">
        <v>43218.683769560186</v>
      </c>
      <c r="C23" s="30" t="s">
        <v>18</v>
      </c>
      <c r="D23" s="30"/>
      <c r="E23" s="30">
        <v>1</v>
      </c>
      <c r="F23" s="30">
        <v>12</v>
      </c>
      <c r="G23" s="27">
        <v>0</v>
      </c>
      <c r="H23" s="31">
        <f t="shared" si="2"/>
        <v>1553</v>
      </c>
      <c r="J23" s="127">
        <f t="shared" si="3"/>
        <v>3</v>
      </c>
      <c r="K23" s="128">
        <f t="shared" si="4"/>
        <v>0</v>
      </c>
      <c r="L23" s="123" t="str">
        <f t="shared" si="0"/>
        <v>NO</v>
      </c>
      <c r="M23" s="140">
        <f t="shared" si="1"/>
        <v>0.68376956018619239</v>
      </c>
    </row>
    <row r="24" spans="1:13" s="123" customFormat="1" ht="24" customHeight="1">
      <c r="A24" s="26">
        <v>43218</v>
      </c>
      <c r="B24" s="135">
        <v>43218.68098020833</v>
      </c>
      <c r="C24" s="30" t="s">
        <v>11</v>
      </c>
      <c r="D24" s="30"/>
      <c r="E24" s="30">
        <v>5</v>
      </c>
      <c r="F24" s="30">
        <v>22</v>
      </c>
      <c r="G24" s="27">
        <v>2</v>
      </c>
      <c r="H24" s="31">
        <f t="shared" si="2"/>
        <v>1552</v>
      </c>
      <c r="J24" s="127">
        <f t="shared" si="3"/>
        <v>6</v>
      </c>
      <c r="K24" s="128">
        <f t="shared" si="4"/>
        <v>1</v>
      </c>
      <c r="L24" s="123" t="str">
        <f t="shared" si="0"/>
        <v>NO</v>
      </c>
      <c r="M24" s="140">
        <f t="shared" si="1"/>
        <v>0.6809802083298564</v>
      </c>
    </row>
    <row r="25" spans="1:13" s="123" customFormat="1" ht="24" customHeight="1">
      <c r="A25" s="26">
        <v>43218</v>
      </c>
      <c r="B25" s="135">
        <v>43218.633316087966</v>
      </c>
      <c r="C25" s="30" t="s">
        <v>14</v>
      </c>
      <c r="D25" s="30"/>
      <c r="E25" s="30">
        <v>10</v>
      </c>
      <c r="F25" s="30">
        <v>15</v>
      </c>
      <c r="G25" s="27">
        <v>4</v>
      </c>
      <c r="H25" s="31">
        <f t="shared" si="2"/>
        <v>1551</v>
      </c>
      <c r="J25" s="127">
        <f t="shared" si="3"/>
        <v>4</v>
      </c>
      <c r="K25" s="128">
        <f t="shared" si="4"/>
        <v>2</v>
      </c>
      <c r="L25" s="123" t="str">
        <f t="shared" si="0"/>
        <v>NO</v>
      </c>
      <c r="M25" s="140">
        <f t="shared" si="1"/>
        <v>0.6333160879657953</v>
      </c>
    </row>
    <row r="26" spans="1:13" s="123" customFormat="1" ht="24" customHeight="1">
      <c r="A26" s="26">
        <v>43218</v>
      </c>
      <c r="B26" s="135">
        <v>43218.623354398151</v>
      </c>
      <c r="C26" s="30" t="s">
        <v>36</v>
      </c>
      <c r="D26" s="30"/>
      <c r="E26" s="30">
        <v>1</v>
      </c>
      <c r="F26" s="30">
        <v>0</v>
      </c>
      <c r="G26" s="27">
        <v>0</v>
      </c>
      <c r="H26" s="165">
        <f t="shared" si="2"/>
        <v>1550</v>
      </c>
      <c r="J26" s="127">
        <f t="shared" si="3"/>
        <v>0</v>
      </c>
      <c r="K26" s="128">
        <f t="shared" si="4"/>
        <v>0</v>
      </c>
      <c r="L26" s="123" t="str">
        <f t="shared" si="0"/>
        <v>NO</v>
      </c>
      <c r="M26" s="140">
        <f t="shared" si="1"/>
        <v>0.62335439815069549</v>
      </c>
    </row>
    <row r="27" spans="1:13" s="123" customFormat="1" ht="24" customHeight="1">
      <c r="A27" s="26">
        <v>43218</v>
      </c>
      <c r="B27" s="135">
        <v>43218.611400000002</v>
      </c>
      <c r="C27" s="30" t="s">
        <v>77</v>
      </c>
      <c r="D27" s="30"/>
      <c r="E27" s="30">
        <v>1</v>
      </c>
      <c r="F27" s="30">
        <v>0</v>
      </c>
      <c r="G27" s="27">
        <v>0</v>
      </c>
      <c r="H27" s="31">
        <f t="shared" si="2"/>
        <v>1549</v>
      </c>
      <c r="J27" s="127">
        <f t="shared" si="3"/>
        <v>0</v>
      </c>
      <c r="K27" s="128">
        <f t="shared" si="4"/>
        <v>0</v>
      </c>
      <c r="L27" s="123" t="str">
        <f t="shared" si="0"/>
        <v>NO</v>
      </c>
      <c r="M27" s="140">
        <f t="shared" si="1"/>
        <v>0.61140000000159489</v>
      </c>
    </row>
    <row r="28" spans="1:13" s="123" customFormat="1" ht="24" customHeight="1">
      <c r="A28" s="26">
        <v>43218</v>
      </c>
      <c r="B28" s="135">
        <v>43218.557672453702</v>
      </c>
      <c r="C28" s="30" t="s">
        <v>27</v>
      </c>
      <c r="D28" s="30"/>
      <c r="E28" s="30">
        <v>21</v>
      </c>
      <c r="F28" s="30">
        <v>14</v>
      </c>
      <c r="G28" s="27">
        <v>4</v>
      </c>
      <c r="H28" s="31">
        <f t="shared" si="2"/>
        <v>1548</v>
      </c>
      <c r="J28" s="127">
        <f t="shared" si="3"/>
        <v>4</v>
      </c>
      <c r="K28" s="128">
        <f t="shared" si="4"/>
        <v>2</v>
      </c>
      <c r="L28" s="123" t="str">
        <f t="shared" si="0"/>
        <v>NO</v>
      </c>
      <c r="M28" s="140">
        <f t="shared" si="1"/>
        <v>0.55767245370225282</v>
      </c>
    </row>
    <row r="29" spans="1:13" s="123" customFormat="1" ht="24" customHeight="1">
      <c r="A29" s="26">
        <v>43218</v>
      </c>
      <c r="B29" s="135">
        <v>43218.518743171298</v>
      </c>
      <c r="C29" s="30" t="s">
        <v>86</v>
      </c>
      <c r="D29" s="30"/>
      <c r="E29" s="30">
        <v>4</v>
      </c>
      <c r="F29" s="30">
        <v>0</v>
      </c>
      <c r="G29" s="27">
        <v>0</v>
      </c>
      <c r="H29" s="31">
        <f t="shared" si="2"/>
        <v>1547</v>
      </c>
      <c r="J29" s="127">
        <f t="shared" si="3"/>
        <v>0</v>
      </c>
      <c r="K29" s="128">
        <f t="shared" si="4"/>
        <v>0</v>
      </c>
      <c r="L29" s="123" t="str">
        <f t="shared" si="0"/>
        <v>NO</v>
      </c>
      <c r="M29" s="140">
        <f t="shared" si="1"/>
        <v>0.51874317129841074</v>
      </c>
    </row>
    <row r="30" spans="1:13" s="123" customFormat="1" ht="24" customHeight="1">
      <c r="A30" s="26">
        <v>43218</v>
      </c>
      <c r="B30" s="135">
        <v>43218.499660532405</v>
      </c>
      <c r="C30" s="30" t="s">
        <v>21</v>
      </c>
      <c r="D30" s="30"/>
      <c r="E30" s="30">
        <v>4</v>
      </c>
      <c r="F30" s="30">
        <v>12</v>
      </c>
      <c r="G30" s="27">
        <v>0</v>
      </c>
      <c r="H30" s="31">
        <f t="shared" si="2"/>
        <v>1546</v>
      </c>
      <c r="J30" s="127">
        <f t="shared" si="3"/>
        <v>3</v>
      </c>
      <c r="K30" s="128">
        <f t="shared" si="4"/>
        <v>0</v>
      </c>
      <c r="L30" s="123" t="str">
        <f t="shared" si="0"/>
        <v>NO</v>
      </c>
      <c r="M30" s="140">
        <f t="shared" si="1"/>
        <v>0.49966053240495967</v>
      </c>
    </row>
    <row r="31" spans="1:13" s="123" customFormat="1" ht="24" customHeight="1">
      <c r="A31" s="26">
        <v>43218</v>
      </c>
      <c r="B31" s="135">
        <v>43218.487760995369</v>
      </c>
      <c r="C31" s="30" t="s">
        <v>19</v>
      </c>
      <c r="D31" s="30"/>
      <c r="E31" s="30">
        <v>8</v>
      </c>
      <c r="F31" s="30">
        <v>28</v>
      </c>
      <c r="G31" s="27">
        <v>4</v>
      </c>
      <c r="H31" s="31">
        <f t="shared" si="2"/>
        <v>1545</v>
      </c>
      <c r="J31" s="127">
        <f t="shared" si="3"/>
        <v>7</v>
      </c>
      <c r="K31" s="128">
        <f t="shared" si="4"/>
        <v>2</v>
      </c>
      <c r="L31" s="123" t="str">
        <f t="shared" si="0"/>
        <v>NO</v>
      </c>
      <c r="M31" s="140">
        <f t="shared" si="1"/>
        <v>0.48776099536917172</v>
      </c>
    </row>
    <row r="32" spans="1:13" s="123" customFormat="1" ht="24" customHeight="1">
      <c r="A32" s="26">
        <v>43218</v>
      </c>
      <c r="B32" s="135">
        <v>43218.439070601853</v>
      </c>
      <c r="C32" s="30" t="s">
        <v>78</v>
      </c>
      <c r="D32" s="30"/>
      <c r="E32" s="30">
        <v>3</v>
      </c>
      <c r="F32" s="30">
        <v>0</v>
      </c>
      <c r="G32" s="27">
        <v>0</v>
      </c>
      <c r="H32" s="31">
        <f t="shared" si="2"/>
        <v>1544</v>
      </c>
      <c r="J32" s="127">
        <f t="shared" si="3"/>
        <v>0</v>
      </c>
      <c r="K32" s="128">
        <f t="shared" si="4"/>
        <v>0</v>
      </c>
      <c r="L32" s="123" t="str">
        <f t="shared" si="0"/>
        <v>NO</v>
      </c>
      <c r="M32" s="140">
        <f t="shared" si="1"/>
        <v>0.43907060185301816</v>
      </c>
    </row>
    <row r="33" spans="1:13" s="123" customFormat="1" ht="24" customHeight="1">
      <c r="A33" s="26">
        <v>43218</v>
      </c>
      <c r="B33" s="135">
        <v>43218.43242326389</v>
      </c>
      <c r="C33" s="30" t="s">
        <v>13</v>
      </c>
      <c r="D33" s="30"/>
      <c r="E33" s="30">
        <v>14</v>
      </c>
      <c r="F33" s="30">
        <v>60</v>
      </c>
      <c r="G33" s="27">
        <v>8</v>
      </c>
      <c r="H33" s="165">
        <f t="shared" si="2"/>
        <v>1543</v>
      </c>
      <c r="J33" s="127">
        <f t="shared" si="3"/>
        <v>15</v>
      </c>
      <c r="K33" s="128">
        <f t="shared" si="4"/>
        <v>4</v>
      </c>
      <c r="L33" s="123" t="str">
        <f t="shared" si="0"/>
        <v>NO</v>
      </c>
      <c r="M33" s="140">
        <f t="shared" si="1"/>
        <v>0.43242326389008667</v>
      </c>
    </row>
    <row r="34" spans="1:13" s="123" customFormat="1" ht="24" customHeight="1">
      <c r="A34" s="26">
        <v>43218</v>
      </c>
      <c r="B34" s="135">
        <v>43218.375719097225</v>
      </c>
      <c r="C34" s="30" t="s">
        <v>13</v>
      </c>
      <c r="D34" s="30"/>
      <c r="E34" s="30">
        <v>0</v>
      </c>
      <c r="F34" s="30">
        <v>32</v>
      </c>
      <c r="G34" s="27">
        <v>0</v>
      </c>
      <c r="H34" s="165">
        <f t="shared" si="2"/>
        <v>1542</v>
      </c>
      <c r="J34" s="127">
        <f t="shared" si="3"/>
        <v>8</v>
      </c>
      <c r="K34" s="128">
        <f t="shared" si="4"/>
        <v>0</v>
      </c>
      <c r="L34" s="123" t="str">
        <f t="shared" si="0"/>
        <v>NO</v>
      </c>
      <c r="M34" s="140">
        <f t="shared" si="1"/>
        <v>0.37571909722464625</v>
      </c>
    </row>
    <row r="35" spans="1:13" s="123" customFormat="1" ht="24" customHeight="1">
      <c r="A35" s="26">
        <v>43218</v>
      </c>
      <c r="B35" s="135">
        <v>43218.352506944444</v>
      </c>
      <c r="C35" s="30" t="s">
        <v>13</v>
      </c>
      <c r="D35" s="30"/>
      <c r="E35" s="30">
        <v>0</v>
      </c>
      <c r="F35" s="30">
        <v>18</v>
      </c>
      <c r="G35" s="27">
        <v>0</v>
      </c>
      <c r="H35" s="165">
        <f t="shared" si="2"/>
        <v>1541</v>
      </c>
      <c r="J35" s="127">
        <f t="shared" si="3"/>
        <v>5</v>
      </c>
      <c r="K35" s="128">
        <f t="shared" si="4"/>
        <v>0</v>
      </c>
      <c r="L35" s="123" t="str">
        <f t="shared" si="0"/>
        <v>NO</v>
      </c>
      <c r="M35" s="140">
        <f t="shared" si="1"/>
        <v>0.35250694444403052</v>
      </c>
    </row>
    <row r="36" spans="1:13" s="123" customFormat="1" ht="24" customHeight="1">
      <c r="A36" s="26">
        <v>43218</v>
      </c>
      <c r="B36" s="135">
        <v>43218.349567361111</v>
      </c>
      <c r="C36" s="30" t="s">
        <v>34</v>
      </c>
      <c r="D36" s="30"/>
      <c r="E36" s="30">
        <v>8</v>
      </c>
      <c r="F36" s="30">
        <v>20</v>
      </c>
      <c r="G36" s="27">
        <v>0</v>
      </c>
      <c r="H36" s="165">
        <f t="shared" si="2"/>
        <v>1540</v>
      </c>
      <c r="J36" s="127">
        <f t="shared" si="3"/>
        <v>5</v>
      </c>
      <c r="K36" s="128">
        <f t="shared" si="4"/>
        <v>0</v>
      </c>
      <c r="L36" s="123" t="str">
        <f t="shared" si="0"/>
        <v>NO</v>
      </c>
      <c r="M36" s="140">
        <f t="shared" si="1"/>
        <v>0.34956736111053033</v>
      </c>
    </row>
    <row r="37" spans="1:13" s="123" customFormat="1" ht="24" customHeight="1">
      <c r="A37" s="26">
        <v>43217</v>
      </c>
      <c r="B37" s="135">
        <v>43217.920880787038</v>
      </c>
      <c r="C37" s="30" t="s">
        <v>36</v>
      </c>
      <c r="D37" s="30"/>
      <c r="E37" s="30">
        <v>6</v>
      </c>
      <c r="F37" s="30">
        <v>14</v>
      </c>
      <c r="G37" s="27">
        <v>0</v>
      </c>
      <c r="H37" s="165">
        <f t="shared" si="2"/>
        <v>1539</v>
      </c>
      <c r="J37" s="127">
        <f t="shared" si="3"/>
        <v>4</v>
      </c>
      <c r="K37" s="128">
        <f t="shared" si="4"/>
        <v>0</v>
      </c>
      <c r="L37" s="123" t="str">
        <f t="shared" si="0"/>
        <v>SI</v>
      </c>
      <c r="M37" s="140">
        <f t="shared" si="1"/>
        <v>0.9208807870381861</v>
      </c>
    </row>
    <row r="38" spans="1:13" s="123" customFormat="1" ht="24" customHeight="1">
      <c r="A38" s="26">
        <v>43217</v>
      </c>
      <c r="B38" s="135">
        <v>43217.869289814815</v>
      </c>
      <c r="C38" s="30" t="s">
        <v>28</v>
      </c>
      <c r="D38" s="30"/>
      <c r="E38" s="30">
        <v>0</v>
      </c>
      <c r="F38" s="30">
        <v>26</v>
      </c>
      <c r="G38" s="27">
        <v>2</v>
      </c>
      <c r="H38" s="31">
        <f t="shared" si="2"/>
        <v>1538</v>
      </c>
      <c r="J38" s="127">
        <f t="shared" si="3"/>
        <v>7</v>
      </c>
      <c r="K38" s="128">
        <f t="shared" si="4"/>
        <v>1</v>
      </c>
      <c r="L38" s="123" t="str">
        <f t="shared" si="0"/>
        <v>SI</v>
      </c>
      <c r="M38" s="140">
        <f t="shared" si="1"/>
        <v>0.86928981481469236</v>
      </c>
    </row>
    <row r="39" spans="1:13" s="123" customFormat="1" ht="24" customHeight="1">
      <c r="A39" s="26">
        <v>43217</v>
      </c>
      <c r="B39" s="135">
        <v>43217.848352314817</v>
      </c>
      <c r="C39" s="30" t="s">
        <v>20</v>
      </c>
      <c r="D39" s="30"/>
      <c r="E39" s="30">
        <v>7</v>
      </c>
      <c r="F39" s="30">
        <v>15</v>
      </c>
      <c r="G39" s="27">
        <v>2</v>
      </c>
      <c r="H39" s="31">
        <f t="shared" ref="H39:H102" si="5">+H40+1</f>
        <v>1537</v>
      </c>
      <c r="J39" s="127">
        <f t="shared" ref="J39:J102" si="6">+ROUNDUP(F39/4,0)</f>
        <v>4</v>
      </c>
      <c r="K39" s="128">
        <f t="shared" ref="K39:K102" si="7">+ROUNDUP(G39/2,0)</f>
        <v>1</v>
      </c>
      <c r="L39" s="123" t="str">
        <f t="shared" si="0"/>
        <v>SI</v>
      </c>
      <c r="M39" s="140">
        <f t="shared" si="1"/>
        <v>0.84835231481702067</v>
      </c>
    </row>
    <row r="40" spans="1:13" s="123" customFormat="1" ht="24" customHeight="1">
      <c r="A40" s="26">
        <v>43217</v>
      </c>
      <c r="B40" s="135">
        <v>43217.847806134261</v>
      </c>
      <c r="C40" s="30" t="s">
        <v>77</v>
      </c>
      <c r="D40" s="30"/>
      <c r="E40" s="30">
        <v>0</v>
      </c>
      <c r="F40" s="30">
        <v>11</v>
      </c>
      <c r="G40" s="27">
        <v>0</v>
      </c>
      <c r="H40" s="31">
        <f t="shared" si="5"/>
        <v>1536</v>
      </c>
      <c r="J40" s="127">
        <f t="shared" si="6"/>
        <v>3</v>
      </c>
      <c r="K40" s="128">
        <f t="shared" si="7"/>
        <v>0</v>
      </c>
      <c r="L40" s="123" t="str">
        <f t="shared" si="0"/>
        <v>SI</v>
      </c>
      <c r="M40" s="140">
        <f t="shared" si="1"/>
        <v>0.84780613426119089</v>
      </c>
    </row>
    <row r="41" spans="1:13" s="123" customFormat="1" ht="24" customHeight="1">
      <c r="A41" s="26">
        <v>43217</v>
      </c>
      <c r="B41" s="135">
        <v>43217.732139814812</v>
      </c>
      <c r="C41" s="30" t="s">
        <v>14</v>
      </c>
      <c r="D41" s="30"/>
      <c r="E41" s="30">
        <v>8</v>
      </c>
      <c r="F41" s="30">
        <v>11</v>
      </c>
      <c r="G41" s="27">
        <v>3</v>
      </c>
      <c r="H41" s="31">
        <f t="shared" si="5"/>
        <v>1535</v>
      </c>
      <c r="J41" s="127">
        <f t="shared" si="6"/>
        <v>3</v>
      </c>
      <c r="K41" s="128">
        <f t="shared" si="7"/>
        <v>2</v>
      </c>
      <c r="L41" s="123" t="str">
        <f t="shared" si="0"/>
        <v>NO</v>
      </c>
      <c r="M41" s="140">
        <f t="shared" si="1"/>
        <v>0.73213981481239898</v>
      </c>
    </row>
    <row r="42" spans="1:13" s="123" customFormat="1" ht="24" customHeight="1">
      <c r="A42" s="26">
        <v>43217</v>
      </c>
      <c r="B42" s="135">
        <v>43217.715016435184</v>
      </c>
      <c r="C42" s="30" t="s">
        <v>36</v>
      </c>
      <c r="D42" s="30"/>
      <c r="E42" s="30">
        <v>0</v>
      </c>
      <c r="F42" s="30">
        <v>4</v>
      </c>
      <c r="G42" s="27">
        <v>0</v>
      </c>
      <c r="H42" s="165">
        <f t="shared" si="5"/>
        <v>1534</v>
      </c>
      <c r="J42" s="127">
        <f t="shared" si="6"/>
        <v>1</v>
      </c>
      <c r="K42" s="128">
        <f t="shared" si="7"/>
        <v>0</v>
      </c>
      <c r="L42" s="123" t="str">
        <f t="shared" si="0"/>
        <v>NO</v>
      </c>
      <c r="M42" s="140">
        <f t="shared" si="1"/>
        <v>0.71501643518422497</v>
      </c>
    </row>
    <row r="43" spans="1:13" s="123" customFormat="1" ht="24" customHeight="1">
      <c r="A43" s="26">
        <v>43217</v>
      </c>
      <c r="B43" s="135">
        <v>43217.693396875002</v>
      </c>
      <c r="C43" s="30" t="s">
        <v>26</v>
      </c>
      <c r="D43" s="30"/>
      <c r="E43" s="30">
        <v>4</v>
      </c>
      <c r="F43" s="30">
        <v>9</v>
      </c>
      <c r="G43" s="27">
        <v>0</v>
      </c>
      <c r="H43" s="31">
        <f t="shared" si="5"/>
        <v>1533</v>
      </c>
      <c r="J43" s="127">
        <f t="shared" si="6"/>
        <v>3</v>
      </c>
      <c r="K43" s="128">
        <f t="shared" si="7"/>
        <v>0</v>
      </c>
      <c r="L43" s="123" t="str">
        <f t="shared" si="0"/>
        <v>NO</v>
      </c>
      <c r="M43" s="140">
        <f t="shared" si="1"/>
        <v>0.69339687500178115</v>
      </c>
    </row>
    <row r="44" spans="1:13" s="123" customFormat="1" ht="24" customHeight="1">
      <c r="A44" s="26">
        <v>43217</v>
      </c>
      <c r="B44" s="135">
        <v>43217.692997800928</v>
      </c>
      <c r="C44" s="30" t="s">
        <v>26</v>
      </c>
      <c r="D44" s="30"/>
      <c r="E44" s="30">
        <v>4</v>
      </c>
      <c r="F44" s="30">
        <v>9</v>
      </c>
      <c r="G44" s="27">
        <v>0</v>
      </c>
      <c r="H44" s="165">
        <f t="shared" si="5"/>
        <v>1532</v>
      </c>
      <c r="J44" s="127">
        <f t="shared" si="6"/>
        <v>3</v>
      </c>
      <c r="K44" s="128">
        <f t="shared" si="7"/>
        <v>0</v>
      </c>
      <c r="L44" s="123" t="str">
        <f t="shared" si="0"/>
        <v>NO</v>
      </c>
      <c r="M44" s="140">
        <f t="shared" si="1"/>
        <v>0.69299780092842411</v>
      </c>
    </row>
    <row r="45" spans="1:13" s="123" customFormat="1" ht="24" customHeight="1">
      <c r="A45" s="26">
        <v>43217</v>
      </c>
      <c r="B45" s="135">
        <v>43217.683860532408</v>
      </c>
      <c r="C45" s="30" t="s">
        <v>18</v>
      </c>
      <c r="D45" s="30"/>
      <c r="E45" s="30">
        <v>2</v>
      </c>
      <c r="F45" s="30">
        <v>6</v>
      </c>
      <c r="G45" s="27">
        <v>0</v>
      </c>
      <c r="H45" s="165">
        <f t="shared" si="5"/>
        <v>1531</v>
      </c>
      <c r="J45" s="127">
        <f t="shared" si="6"/>
        <v>2</v>
      </c>
      <c r="K45" s="128">
        <f t="shared" si="7"/>
        <v>0</v>
      </c>
      <c r="L45" s="123" t="str">
        <f t="shared" si="0"/>
        <v>NO</v>
      </c>
      <c r="M45" s="140">
        <f t="shared" si="1"/>
        <v>0.68386053240828915</v>
      </c>
    </row>
    <row r="46" spans="1:13" s="123" customFormat="1" ht="24" customHeight="1">
      <c r="A46" s="26">
        <v>43217</v>
      </c>
      <c r="B46" s="135">
        <v>43217.679328819446</v>
      </c>
      <c r="C46" s="30" t="s">
        <v>15</v>
      </c>
      <c r="D46" s="30"/>
      <c r="E46" s="30">
        <v>4</v>
      </c>
      <c r="F46" s="30">
        <v>0</v>
      </c>
      <c r="G46" s="27">
        <v>0</v>
      </c>
      <c r="H46" s="165">
        <f t="shared" si="5"/>
        <v>1530</v>
      </c>
      <c r="J46" s="127">
        <f t="shared" si="6"/>
        <v>0</v>
      </c>
      <c r="K46" s="128">
        <f t="shared" si="7"/>
        <v>0</v>
      </c>
      <c r="L46" s="123" t="str">
        <f t="shared" si="0"/>
        <v>NO</v>
      </c>
      <c r="M46" s="140">
        <f t="shared" si="1"/>
        <v>0.67932881944580004</v>
      </c>
    </row>
    <row r="47" spans="1:13" s="123" customFormat="1" ht="24" customHeight="1">
      <c r="A47" s="26">
        <v>43217</v>
      </c>
      <c r="B47" s="135">
        <v>43217.629993981478</v>
      </c>
      <c r="C47" s="30" t="s">
        <v>79</v>
      </c>
      <c r="D47" s="30"/>
      <c r="E47" s="30">
        <v>0</v>
      </c>
      <c r="F47" s="30">
        <v>0</v>
      </c>
      <c r="G47" s="27">
        <v>10</v>
      </c>
      <c r="H47" s="165">
        <f t="shared" si="5"/>
        <v>1529</v>
      </c>
      <c r="J47" s="127">
        <f t="shared" si="6"/>
        <v>0</v>
      </c>
      <c r="K47" s="128">
        <f t="shared" si="7"/>
        <v>5</v>
      </c>
      <c r="L47" s="123" t="str">
        <f t="shared" si="0"/>
        <v>NO</v>
      </c>
      <c r="M47" s="140">
        <f t="shared" si="1"/>
        <v>0.62999398147803731</v>
      </c>
    </row>
    <row r="48" spans="1:13" s="123" customFormat="1" ht="24" customHeight="1">
      <c r="A48" s="26">
        <v>43217</v>
      </c>
      <c r="B48" s="135">
        <v>43217.591191550928</v>
      </c>
      <c r="C48" s="30" t="s">
        <v>33</v>
      </c>
      <c r="D48" s="30"/>
      <c r="E48" s="30">
        <v>4</v>
      </c>
      <c r="F48" s="30">
        <v>8</v>
      </c>
      <c r="G48" s="27">
        <v>0</v>
      </c>
      <c r="H48" s="165">
        <f t="shared" si="5"/>
        <v>1528</v>
      </c>
      <c r="J48" s="127">
        <f t="shared" si="6"/>
        <v>2</v>
      </c>
      <c r="K48" s="128">
        <f t="shared" si="7"/>
        <v>0</v>
      </c>
      <c r="L48" s="123" t="str">
        <f t="shared" si="0"/>
        <v>NO</v>
      </c>
      <c r="M48" s="140">
        <f t="shared" si="1"/>
        <v>0.59119155092776055</v>
      </c>
    </row>
    <row r="49" spans="1:13" s="123" customFormat="1" ht="24" customHeight="1">
      <c r="A49" s="26">
        <v>43217</v>
      </c>
      <c r="B49" s="135">
        <v>43217.509266782406</v>
      </c>
      <c r="C49" s="30" t="s">
        <v>13</v>
      </c>
      <c r="D49" s="30"/>
      <c r="E49" s="30">
        <v>0</v>
      </c>
      <c r="F49" s="30">
        <v>28</v>
      </c>
      <c r="G49" s="27">
        <v>0</v>
      </c>
      <c r="H49" s="165">
        <f t="shared" si="5"/>
        <v>1527</v>
      </c>
      <c r="J49" s="127">
        <f t="shared" si="6"/>
        <v>7</v>
      </c>
      <c r="K49" s="128">
        <f t="shared" si="7"/>
        <v>0</v>
      </c>
      <c r="L49" s="123" t="str">
        <f t="shared" si="0"/>
        <v>NO</v>
      </c>
      <c r="M49" s="140">
        <f t="shared" si="1"/>
        <v>0.50926678240648471</v>
      </c>
    </row>
    <row r="50" spans="1:13" s="123" customFormat="1" ht="24" customHeight="1">
      <c r="A50" s="26">
        <v>43217</v>
      </c>
      <c r="B50" s="135">
        <v>43217.496663541664</v>
      </c>
      <c r="C50" s="30" t="s">
        <v>27</v>
      </c>
      <c r="D50" s="30"/>
      <c r="E50" s="30">
        <v>5</v>
      </c>
      <c r="F50" s="30">
        <v>13</v>
      </c>
      <c r="G50" s="27">
        <v>10</v>
      </c>
      <c r="H50" s="31">
        <f t="shared" si="5"/>
        <v>1526</v>
      </c>
      <c r="J50" s="127">
        <f t="shared" si="6"/>
        <v>4</v>
      </c>
      <c r="K50" s="128">
        <f t="shared" si="7"/>
        <v>5</v>
      </c>
      <c r="L50" s="123" t="str">
        <f t="shared" si="0"/>
        <v>NO</v>
      </c>
      <c r="M50" s="140">
        <f t="shared" si="1"/>
        <v>0.49666354166402016</v>
      </c>
    </row>
    <row r="51" spans="1:13" s="123" customFormat="1" ht="24" customHeight="1">
      <c r="A51" s="26">
        <v>43217</v>
      </c>
      <c r="B51" s="135">
        <v>43217.372584259261</v>
      </c>
      <c r="C51" s="30" t="s">
        <v>13</v>
      </c>
      <c r="D51" s="30"/>
      <c r="E51" s="30">
        <v>0</v>
      </c>
      <c r="F51" s="30">
        <v>12</v>
      </c>
      <c r="G51" s="27">
        <v>0</v>
      </c>
      <c r="H51" s="165">
        <f t="shared" si="5"/>
        <v>1525</v>
      </c>
      <c r="J51" s="127">
        <f t="shared" si="6"/>
        <v>3</v>
      </c>
      <c r="K51" s="128">
        <f t="shared" si="7"/>
        <v>0</v>
      </c>
      <c r="L51" s="123" t="str">
        <f t="shared" si="0"/>
        <v>NO</v>
      </c>
      <c r="M51" s="140">
        <f t="shared" si="1"/>
        <v>0.37258425926120253</v>
      </c>
    </row>
    <row r="52" spans="1:13" s="123" customFormat="1" ht="24" customHeight="1">
      <c r="A52" s="26">
        <v>43217</v>
      </c>
      <c r="B52" s="135">
        <v>43217.361102430557</v>
      </c>
      <c r="C52" s="30" t="s">
        <v>13</v>
      </c>
      <c r="D52" s="30"/>
      <c r="E52" s="30">
        <v>20</v>
      </c>
      <c r="F52" s="30">
        <v>24</v>
      </c>
      <c r="G52" s="27">
        <v>10</v>
      </c>
      <c r="H52" s="165">
        <f t="shared" si="5"/>
        <v>1524</v>
      </c>
      <c r="J52" s="127">
        <f t="shared" si="6"/>
        <v>6</v>
      </c>
      <c r="K52" s="128">
        <f t="shared" si="7"/>
        <v>5</v>
      </c>
      <c r="L52" s="123" t="str">
        <f t="shared" si="0"/>
        <v>NO</v>
      </c>
      <c r="M52" s="140">
        <f t="shared" si="1"/>
        <v>0.36110243055736646</v>
      </c>
    </row>
    <row r="53" spans="1:13" s="123" customFormat="1" ht="24" customHeight="1">
      <c r="A53" s="26">
        <v>43217</v>
      </c>
      <c r="B53" s="135">
        <v>43217.301997569448</v>
      </c>
      <c r="C53" s="30" t="s">
        <v>13</v>
      </c>
      <c r="D53" s="30"/>
      <c r="E53" s="30">
        <v>0</v>
      </c>
      <c r="F53" s="30">
        <v>10</v>
      </c>
      <c r="G53" s="27">
        <v>0</v>
      </c>
      <c r="H53" s="165">
        <f t="shared" si="5"/>
        <v>1523</v>
      </c>
      <c r="J53" s="127">
        <f t="shared" si="6"/>
        <v>3</v>
      </c>
      <c r="K53" s="128">
        <f t="shared" si="7"/>
        <v>0</v>
      </c>
      <c r="L53" s="123" t="str">
        <f t="shared" si="0"/>
        <v>NO</v>
      </c>
      <c r="M53" s="140">
        <f t="shared" si="1"/>
        <v>0.30199756944784895</v>
      </c>
    </row>
    <row r="54" spans="1:13" s="123" customFormat="1" ht="24" customHeight="1">
      <c r="A54" s="26">
        <v>43216</v>
      </c>
      <c r="B54" s="135">
        <v>43216.898209953702</v>
      </c>
      <c r="C54" s="30" t="s">
        <v>36</v>
      </c>
      <c r="D54" s="30"/>
      <c r="E54" s="30">
        <v>3</v>
      </c>
      <c r="F54" s="30">
        <v>27</v>
      </c>
      <c r="G54" s="27">
        <v>0</v>
      </c>
      <c r="H54" s="165">
        <f t="shared" si="5"/>
        <v>1522</v>
      </c>
      <c r="J54" s="127">
        <f t="shared" si="6"/>
        <v>7</v>
      </c>
      <c r="K54" s="128">
        <f t="shared" si="7"/>
        <v>0</v>
      </c>
      <c r="L54" s="123" t="str">
        <f t="shared" si="0"/>
        <v>SI</v>
      </c>
      <c r="M54" s="140">
        <f t="shared" si="1"/>
        <v>0.89820995370246237</v>
      </c>
    </row>
    <row r="55" spans="1:13" s="123" customFormat="1" ht="24" customHeight="1">
      <c r="A55" s="26">
        <v>43216</v>
      </c>
      <c r="B55" s="135">
        <v>43216.866782060184</v>
      </c>
      <c r="C55" s="30" t="s">
        <v>14</v>
      </c>
      <c r="D55" s="30"/>
      <c r="E55" s="30">
        <v>8</v>
      </c>
      <c r="F55" s="30">
        <v>8</v>
      </c>
      <c r="G55" s="27">
        <v>4</v>
      </c>
      <c r="H55" s="165">
        <f t="shared" si="5"/>
        <v>1521</v>
      </c>
      <c r="J55" s="127">
        <f t="shared" si="6"/>
        <v>2</v>
      </c>
      <c r="K55" s="128">
        <f t="shared" si="7"/>
        <v>2</v>
      </c>
      <c r="L55" s="123" t="str">
        <f t="shared" si="0"/>
        <v>SI</v>
      </c>
      <c r="M55" s="140">
        <f t="shared" si="1"/>
        <v>0.86678206018405035</v>
      </c>
    </row>
    <row r="56" spans="1:13" s="123" customFormat="1" ht="24" customHeight="1">
      <c r="A56" s="26">
        <v>43216</v>
      </c>
      <c r="B56" s="135">
        <v>43216.85762372685</v>
      </c>
      <c r="C56" s="30" t="s">
        <v>28</v>
      </c>
      <c r="D56" s="30"/>
      <c r="E56" s="30">
        <v>0</v>
      </c>
      <c r="F56" s="30">
        <v>22</v>
      </c>
      <c r="G56" s="27">
        <v>0</v>
      </c>
      <c r="H56" s="31">
        <f t="shared" si="5"/>
        <v>1520</v>
      </c>
      <c r="J56" s="127">
        <f t="shared" si="6"/>
        <v>6</v>
      </c>
      <c r="K56" s="128">
        <f t="shared" si="7"/>
        <v>0</v>
      </c>
      <c r="L56" s="123" t="str">
        <f t="shared" si="0"/>
        <v>SI</v>
      </c>
      <c r="M56" s="140">
        <f t="shared" si="1"/>
        <v>0.85762372684985166</v>
      </c>
    </row>
    <row r="57" spans="1:13" s="123" customFormat="1" ht="24" customHeight="1">
      <c r="A57" s="26">
        <v>43216</v>
      </c>
      <c r="B57" s="135">
        <v>43216.808281481484</v>
      </c>
      <c r="C57" s="30" t="s">
        <v>36</v>
      </c>
      <c r="D57" s="30"/>
      <c r="E57" s="30">
        <v>0</v>
      </c>
      <c r="F57" s="30">
        <v>6</v>
      </c>
      <c r="G57" s="27">
        <v>0</v>
      </c>
      <c r="H57" s="31">
        <f t="shared" si="5"/>
        <v>1519</v>
      </c>
      <c r="J57" s="127">
        <f t="shared" si="6"/>
        <v>2</v>
      </c>
      <c r="K57" s="128">
        <f t="shared" si="7"/>
        <v>0</v>
      </c>
      <c r="L57" s="123" t="str">
        <f t="shared" si="0"/>
        <v>SI</v>
      </c>
      <c r="M57" s="140">
        <f t="shared" si="1"/>
        <v>0.80828148148430046</v>
      </c>
    </row>
    <row r="58" spans="1:13" s="123" customFormat="1" ht="24" customHeight="1">
      <c r="A58" s="26">
        <v>43216</v>
      </c>
      <c r="B58" s="135">
        <v>43216.747535648145</v>
      </c>
      <c r="C58" s="30" t="s">
        <v>16</v>
      </c>
      <c r="D58" s="30"/>
      <c r="E58" s="30">
        <v>1</v>
      </c>
      <c r="F58" s="30">
        <v>0</v>
      </c>
      <c r="G58" s="27">
        <v>0</v>
      </c>
      <c r="H58" s="31">
        <f t="shared" si="5"/>
        <v>1518</v>
      </c>
      <c r="J58" s="127">
        <f t="shared" si="6"/>
        <v>0</v>
      </c>
      <c r="K58" s="128">
        <f t="shared" si="7"/>
        <v>0</v>
      </c>
      <c r="L58" s="123" t="str">
        <f t="shared" si="0"/>
        <v>NO</v>
      </c>
      <c r="M58" s="140">
        <f t="shared" si="1"/>
        <v>0.74753564814454876</v>
      </c>
    </row>
    <row r="59" spans="1:13" s="123" customFormat="1" ht="24" customHeight="1">
      <c r="A59" s="26">
        <v>43216</v>
      </c>
      <c r="B59" s="135">
        <v>43216.741118287035</v>
      </c>
      <c r="C59" s="30" t="s">
        <v>24</v>
      </c>
      <c r="D59" s="30"/>
      <c r="E59" s="30">
        <v>0</v>
      </c>
      <c r="F59" s="30">
        <v>6</v>
      </c>
      <c r="G59" s="27">
        <v>0</v>
      </c>
      <c r="H59" s="165">
        <f t="shared" si="5"/>
        <v>1517</v>
      </c>
      <c r="J59" s="127">
        <f t="shared" si="6"/>
        <v>2</v>
      </c>
      <c r="K59" s="128">
        <f t="shared" si="7"/>
        <v>0</v>
      </c>
      <c r="L59" s="123" t="str">
        <f t="shared" si="0"/>
        <v>NO</v>
      </c>
      <c r="M59" s="140">
        <f t="shared" si="1"/>
        <v>0.74111828703462379</v>
      </c>
    </row>
    <row r="60" spans="1:13" s="123" customFormat="1" ht="24" customHeight="1">
      <c r="A60" s="26">
        <v>43216</v>
      </c>
      <c r="B60" s="135">
        <v>43216.737462731478</v>
      </c>
      <c r="C60" s="30" t="s">
        <v>11</v>
      </c>
      <c r="D60" s="30"/>
      <c r="E60" s="30">
        <v>0</v>
      </c>
      <c r="F60" s="30">
        <v>7</v>
      </c>
      <c r="G60" s="27">
        <v>0</v>
      </c>
      <c r="H60" s="165">
        <f t="shared" si="5"/>
        <v>1516</v>
      </c>
      <c r="J60" s="127">
        <f t="shared" si="6"/>
        <v>2</v>
      </c>
      <c r="K60" s="128">
        <f t="shared" si="7"/>
        <v>0</v>
      </c>
      <c r="L60" s="123" t="str">
        <f t="shared" si="0"/>
        <v>NO</v>
      </c>
      <c r="M60" s="140">
        <f t="shared" si="1"/>
        <v>0.73746273147844477</v>
      </c>
    </row>
    <row r="61" spans="1:13" s="123" customFormat="1" ht="24" customHeight="1">
      <c r="A61" s="26">
        <v>43216</v>
      </c>
      <c r="B61" s="135">
        <v>43216.728545949074</v>
      </c>
      <c r="C61" s="30" t="s">
        <v>20</v>
      </c>
      <c r="D61" s="30"/>
      <c r="E61" s="30">
        <v>3</v>
      </c>
      <c r="F61" s="30">
        <v>11</v>
      </c>
      <c r="G61" s="27">
        <v>0</v>
      </c>
      <c r="H61" s="165">
        <f t="shared" si="5"/>
        <v>1515</v>
      </c>
      <c r="J61" s="127">
        <f t="shared" si="6"/>
        <v>3</v>
      </c>
      <c r="K61" s="128">
        <f t="shared" si="7"/>
        <v>0</v>
      </c>
      <c r="L61" s="123" t="str">
        <f t="shared" si="0"/>
        <v>NO</v>
      </c>
      <c r="M61" s="140">
        <f t="shared" si="1"/>
        <v>0.72854594907403225</v>
      </c>
    </row>
    <row r="62" spans="1:13" s="123" customFormat="1" ht="24" customHeight="1">
      <c r="A62" s="26">
        <v>43216</v>
      </c>
      <c r="B62" s="135">
        <v>43216.699628587965</v>
      </c>
      <c r="C62" s="30" t="s">
        <v>36</v>
      </c>
      <c r="D62" s="30"/>
      <c r="E62" s="30">
        <v>1</v>
      </c>
      <c r="F62" s="30">
        <v>6</v>
      </c>
      <c r="G62" s="27">
        <v>0</v>
      </c>
      <c r="H62" s="165">
        <f t="shared" si="5"/>
        <v>1514</v>
      </c>
      <c r="J62" s="127">
        <f t="shared" si="6"/>
        <v>2</v>
      </c>
      <c r="K62" s="128">
        <f t="shared" si="7"/>
        <v>0</v>
      </c>
      <c r="L62" s="123" t="str">
        <f t="shared" si="0"/>
        <v>NO</v>
      </c>
      <c r="M62" s="140">
        <f t="shared" si="1"/>
        <v>0.6996285879649804</v>
      </c>
    </row>
    <row r="63" spans="1:13" s="123" customFormat="1" ht="24" customHeight="1">
      <c r="A63" s="26">
        <v>43216</v>
      </c>
      <c r="B63" s="135">
        <v>43216.696023379627</v>
      </c>
      <c r="C63" s="30" t="s">
        <v>25</v>
      </c>
      <c r="D63" s="30"/>
      <c r="E63" s="30">
        <v>2</v>
      </c>
      <c r="F63" s="30">
        <v>9</v>
      </c>
      <c r="G63" s="27">
        <v>0</v>
      </c>
      <c r="H63" s="165">
        <f t="shared" si="5"/>
        <v>1513</v>
      </c>
      <c r="J63" s="127">
        <f t="shared" si="6"/>
        <v>3</v>
      </c>
      <c r="K63" s="128">
        <f t="shared" si="7"/>
        <v>0</v>
      </c>
      <c r="L63" s="123" t="str">
        <f t="shared" si="0"/>
        <v>NO</v>
      </c>
      <c r="M63" s="140">
        <f t="shared" si="1"/>
        <v>0.69602337962714955</v>
      </c>
    </row>
    <row r="64" spans="1:13" s="123" customFormat="1" ht="24" customHeight="1">
      <c r="A64" s="26">
        <v>43216</v>
      </c>
      <c r="B64" s="135">
        <v>43216.691429050923</v>
      </c>
      <c r="C64" s="30" t="s">
        <v>18</v>
      </c>
      <c r="D64" s="30"/>
      <c r="E64" s="30">
        <v>2</v>
      </c>
      <c r="F64" s="30">
        <v>3</v>
      </c>
      <c r="G64" s="27">
        <v>0</v>
      </c>
      <c r="H64" s="165">
        <f t="shared" si="5"/>
        <v>1512</v>
      </c>
      <c r="J64" s="127">
        <f t="shared" si="6"/>
        <v>1</v>
      </c>
      <c r="K64" s="128">
        <f t="shared" si="7"/>
        <v>0</v>
      </c>
      <c r="L64" s="123" t="str">
        <f t="shared" si="0"/>
        <v>NO</v>
      </c>
      <c r="M64" s="140">
        <f t="shared" si="1"/>
        <v>0.69142905092303408</v>
      </c>
    </row>
    <row r="65" spans="1:13" s="123" customFormat="1" ht="24" customHeight="1">
      <c r="A65" s="26">
        <v>43216</v>
      </c>
      <c r="B65" s="135">
        <v>43216.630461574074</v>
      </c>
      <c r="C65" s="30" t="s">
        <v>36</v>
      </c>
      <c r="D65" s="30"/>
      <c r="E65" s="30">
        <v>0</v>
      </c>
      <c r="F65" s="30">
        <v>4</v>
      </c>
      <c r="G65" s="27">
        <v>0</v>
      </c>
      <c r="H65" s="165">
        <f t="shared" si="5"/>
        <v>1511</v>
      </c>
      <c r="J65" s="127">
        <f t="shared" si="6"/>
        <v>1</v>
      </c>
      <c r="K65" s="128">
        <f t="shared" si="7"/>
        <v>0</v>
      </c>
      <c r="L65" s="123" t="str">
        <f t="shared" si="0"/>
        <v>NO</v>
      </c>
      <c r="M65" s="140">
        <f t="shared" si="1"/>
        <v>0.63046157407370629</v>
      </c>
    </row>
    <row r="66" spans="1:13" s="123" customFormat="1" ht="24" customHeight="1">
      <c r="A66" s="26">
        <v>43216</v>
      </c>
      <c r="B66" s="135">
        <v>43216.620766550928</v>
      </c>
      <c r="C66" s="30" t="s">
        <v>33</v>
      </c>
      <c r="D66" s="30"/>
      <c r="E66" s="30">
        <v>1</v>
      </c>
      <c r="F66" s="30">
        <v>14</v>
      </c>
      <c r="G66" s="27">
        <v>0</v>
      </c>
      <c r="H66" s="165">
        <f t="shared" si="5"/>
        <v>1510</v>
      </c>
      <c r="J66" s="127">
        <f t="shared" si="6"/>
        <v>4</v>
      </c>
      <c r="K66" s="128">
        <f t="shared" si="7"/>
        <v>0</v>
      </c>
      <c r="L66" s="123" t="str">
        <f t="shared" si="0"/>
        <v>NO</v>
      </c>
      <c r="M66" s="140">
        <f t="shared" si="1"/>
        <v>0.62076655092823785</v>
      </c>
    </row>
    <row r="67" spans="1:13" s="123" customFormat="1" ht="24" customHeight="1">
      <c r="A67" s="26">
        <v>43216</v>
      </c>
      <c r="B67" s="135">
        <v>43216.605561226854</v>
      </c>
      <c r="C67" s="30" t="s">
        <v>19</v>
      </c>
      <c r="D67" s="30"/>
      <c r="E67" s="30">
        <v>0</v>
      </c>
      <c r="F67" s="30">
        <v>8</v>
      </c>
      <c r="G67" s="27">
        <v>0</v>
      </c>
      <c r="H67" s="165">
        <f t="shared" si="5"/>
        <v>1509</v>
      </c>
      <c r="J67" s="127">
        <f t="shared" si="6"/>
        <v>2</v>
      </c>
      <c r="K67" s="128">
        <f t="shared" si="7"/>
        <v>0</v>
      </c>
      <c r="L67" s="123" t="str">
        <f t="shared" si="0"/>
        <v>NO</v>
      </c>
      <c r="M67" s="140">
        <f t="shared" si="1"/>
        <v>0.60556122685375158</v>
      </c>
    </row>
    <row r="68" spans="1:13" s="123" customFormat="1" ht="24" customHeight="1">
      <c r="A68" s="26">
        <v>43216</v>
      </c>
      <c r="B68" s="135">
        <v>43216.599763425926</v>
      </c>
      <c r="C68" s="30" t="s">
        <v>77</v>
      </c>
      <c r="D68" s="30"/>
      <c r="E68" s="30">
        <v>3</v>
      </c>
      <c r="F68" s="30">
        <v>0</v>
      </c>
      <c r="G68" s="27">
        <v>0</v>
      </c>
      <c r="H68" s="165">
        <f t="shared" si="5"/>
        <v>1508</v>
      </c>
      <c r="J68" s="127">
        <f t="shared" si="6"/>
        <v>0</v>
      </c>
      <c r="K68" s="128">
        <f t="shared" si="7"/>
        <v>0</v>
      </c>
      <c r="L68" s="123" t="str">
        <f t="shared" si="0"/>
        <v>NO</v>
      </c>
      <c r="M68" s="140">
        <f t="shared" si="1"/>
        <v>0.59976342592563014</v>
      </c>
    </row>
    <row r="69" spans="1:13" s="123" customFormat="1" ht="24" customHeight="1">
      <c r="A69" s="26">
        <v>43216</v>
      </c>
      <c r="B69" s="135">
        <v>43216.592513888892</v>
      </c>
      <c r="C69" s="30" t="s">
        <v>27</v>
      </c>
      <c r="D69" s="30"/>
      <c r="E69" s="30">
        <v>8</v>
      </c>
      <c r="F69" s="30">
        <v>6</v>
      </c>
      <c r="G69" s="27">
        <v>2</v>
      </c>
      <c r="H69" s="31">
        <f t="shared" si="5"/>
        <v>1507</v>
      </c>
      <c r="J69" s="127">
        <f t="shared" si="6"/>
        <v>2</v>
      </c>
      <c r="K69" s="128">
        <f t="shared" si="7"/>
        <v>1</v>
      </c>
      <c r="L69" s="123" t="str">
        <f t="shared" si="0"/>
        <v>NO</v>
      </c>
      <c r="M69" s="140">
        <f t="shared" si="1"/>
        <v>0.59251388889242662</v>
      </c>
    </row>
    <row r="70" spans="1:13" s="123" customFormat="1" ht="24" customHeight="1">
      <c r="A70" s="26">
        <v>43216</v>
      </c>
      <c r="B70" s="135">
        <v>43216.576975694443</v>
      </c>
      <c r="C70" s="30" t="s">
        <v>79</v>
      </c>
      <c r="D70" s="30"/>
      <c r="E70" s="30">
        <v>20</v>
      </c>
      <c r="F70" s="30">
        <v>0</v>
      </c>
      <c r="G70" s="27">
        <v>4</v>
      </c>
      <c r="H70" s="165">
        <f t="shared" si="5"/>
        <v>1506</v>
      </c>
      <c r="J70" s="127">
        <f t="shared" si="6"/>
        <v>0</v>
      </c>
      <c r="K70" s="128">
        <f t="shared" si="7"/>
        <v>2</v>
      </c>
      <c r="L70" s="123" t="str">
        <f t="shared" si="0"/>
        <v>NO</v>
      </c>
      <c r="M70" s="140">
        <f t="shared" si="1"/>
        <v>0.57697569444280816</v>
      </c>
    </row>
    <row r="71" spans="1:13" s="123" customFormat="1" ht="24" customHeight="1">
      <c r="A71" s="26">
        <v>43216</v>
      </c>
      <c r="B71" s="135">
        <v>43216.55622175926</v>
      </c>
      <c r="C71" s="30" t="s">
        <v>36</v>
      </c>
      <c r="D71" s="30"/>
      <c r="E71" s="30">
        <v>1</v>
      </c>
      <c r="F71" s="30">
        <v>1</v>
      </c>
      <c r="G71" s="27">
        <v>0</v>
      </c>
      <c r="H71" s="165">
        <f t="shared" si="5"/>
        <v>1505</v>
      </c>
      <c r="J71" s="127">
        <f t="shared" si="6"/>
        <v>1</v>
      </c>
      <c r="K71" s="128">
        <f t="shared" si="7"/>
        <v>0</v>
      </c>
      <c r="L71" s="123" t="str">
        <f t="shared" si="0"/>
        <v>NO</v>
      </c>
      <c r="M71" s="140">
        <f t="shared" si="1"/>
        <v>0.55622175925964257</v>
      </c>
    </row>
    <row r="72" spans="1:13" s="123" customFormat="1" ht="24" customHeight="1">
      <c r="A72" s="26">
        <v>43216</v>
      </c>
      <c r="B72" s="135">
        <v>43216.45108460648</v>
      </c>
      <c r="C72" s="30" t="s">
        <v>13</v>
      </c>
      <c r="D72" s="30"/>
      <c r="E72" s="30">
        <v>9</v>
      </c>
      <c r="F72" s="30">
        <v>0</v>
      </c>
      <c r="G72" s="27">
        <v>0</v>
      </c>
      <c r="H72" s="165">
        <f t="shared" si="5"/>
        <v>1504</v>
      </c>
      <c r="J72" s="127">
        <f t="shared" si="6"/>
        <v>0</v>
      </c>
      <c r="K72" s="128">
        <f t="shared" si="7"/>
        <v>0</v>
      </c>
      <c r="L72" s="123" t="str">
        <f t="shared" si="0"/>
        <v>NO</v>
      </c>
      <c r="M72" s="140">
        <f t="shared" si="1"/>
        <v>0.45108460648043547</v>
      </c>
    </row>
    <row r="73" spans="1:13" s="123" customFormat="1" ht="24" customHeight="1">
      <c r="A73" s="26">
        <v>43216</v>
      </c>
      <c r="B73" s="135">
        <v>43216.439217824074</v>
      </c>
      <c r="C73" s="30" t="s">
        <v>13</v>
      </c>
      <c r="D73" s="30"/>
      <c r="E73" s="30">
        <v>21</v>
      </c>
      <c r="F73" s="30">
        <v>28</v>
      </c>
      <c r="G73" s="27">
        <v>5</v>
      </c>
      <c r="H73" s="165">
        <f t="shared" si="5"/>
        <v>1503</v>
      </c>
      <c r="J73" s="127">
        <f t="shared" si="6"/>
        <v>7</v>
      </c>
      <c r="K73" s="128">
        <f t="shared" si="7"/>
        <v>3</v>
      </c>
      <c r="L73" s="123" t="str">
        <f t="shared" si="0"/>
        <v>NO</v>
      </c>
      <c r="M73" s="140">
        <f t="shared" si="1"/>
        <v>0.43921782407414867</v>
      </c>
    </row>
    <row r="74" spans="1:13" s="123" customFormat="1" ht="24" customHeight="1">
      <c r="A74" s="26">
        <v>43216</v>
      </c>
      <c r="B74" s="135">
        <v>43216.374480555554</v>
      </c>
      <c r="C74" s="30" t="s">
        <v>13</v>
      </c>
      <c r="D74" s="30"/>
      <c r="E74" s="30">
        <v>8</v>
      </c>
      <c r="F74" s="30">
        <v>0</v>
      </c>
      <c r="G74" s="27">
        <v>0</v>
      </c>
      <c r="H74" s="165">
        <f t="shared" si="5"/>
        <v>1502</v>
      </c>
      <c r="J74" s="127">
        <f t="shared" si="6"/>
        <v>0</v>
      </c>
      <c r="K74" s="128">
        <f t="shared" si="7"/>
        <v>0</v>
      </c>
      <c r="L74" s="123" t="str">
        <f t="shared" si="0"/>
        <v>NO</v>
      </c>
      <c r="M74" s="140">
        <f t="shared" si="1"/>
        <v>0.37448055555432802</v>
      </c>
    </row>
    <row r="75" spans="1:13" s="123" customFormat="1" ht="24" customHeight="1">
      <c r="A75" s="26">
        <v>43216</v>
      </c>
      <c r="B75" s="135">
        <v>43216.333552430558</v>
      </c>
      <c r="C75" s="30" t="s">
        <v>34</v>
      </c>
      <c r="D75" s="30"/>
      <c r="E75" s="30">
        <v>5</v>
      </c>
      <c r="F75" s="30">
        <v>32</v>
      </c>
      <c r="G75" s="27">
        <v>0</v>
      </c>
      <c r="H75" s="165">
        <f t="shared" si="5"/>
        <v>1501</v>
      </c>
      <c r="J75" s="127">
        <f t="shared" si="6"/>
        <v>8</v>
      </c>
      <c r="K75" s="128">
        <f t="shared" si="7"/>
        <v>0</v>
      </c>
      <c r="L75" s="123" t="str">
        <f t="shared" si="0"/>
        <v>NO</v>
      </c>
      <c r="M75" s="140">
        <f t="shared" si="1"/>
        <v>0.33355243055848405</v>
      </c>
    </row>
    <row r="76" spans="1:13" s="123" customFormat="1" ht="24" customHeight="1">
      <c r="A76" s="26">
        <v>43215</v>
      </c>
      <c r="B76" s="135">
        <v>43215.97190462963</v>
      </c>
      <c r="C76" s="30" t="s">
        <v>83</v>
      </c>
      <c r="D76" s="30"/>
      <c r="E76" s="30">
        <v>4</v>
      </c>
      <c r="F76" s="30">
        <v>0</v>
      </c>
      <c r="G76" s="27">
        <v>0</v>
      </c>
      <c r="H76" s="31">
        <f t="shared" si="5"/>
        <v>1500</v>
      </c>
      <c r="J76" s="127">
        <f t="shared" si="6"/>
        <v>0</v>
      </c>
      <c r="K76" s="128">
        <f t="shared" si="7"/>
        <v>0</v>
      </c>
      <c r="L76" s="123" t="str">
        <f t="shared" si="0"/>
        <v>SI</v>
      </c>
      <c r="M76" s="140">
        <f t="shared" si="1"/>
        <v>0.97190462963044411</v>
      </c>
    </row>
    <row r="77" spans="1:13" s="123" customFormat="1" ht="24" customHeight="1">
      <c r="A77" s="26">
        <v>43215</v>
      </c>
      <c r="B77" s="135">
        <v>43215.863805208333</v>
      </c>
      <c r="C77" s="30" t="s">
        <v>36</v>
      </c>
      <c r="D77" s="30"/>
      <c r="E77" s="30">
        <v>4</v>
      </c>
      <c r="F77" s="30">
        <v>12</v>
      </c>
      <c r="G77" s="27">
        <v>0</v>
      </c>
      <c r="H77" s="165">
        <f t="shared" si="5"/>
        <v>1499</v>
      </c>
      <c r="J77" s="127">
        <f t="shared" si="6"/>
        <v>3</v>
      </c>
      <c r="K77" s="128">
        <f t="shared" si="7"/>
        <v>0</v>
      </c>
      <c r="L77" s="123" t="str">
        <f t="shared" si="0"/>
        <v>SI</v>
      </c>
      <c r="M77" s="140">
        <f t="shared" si="1"/>
        <v>0.8638052083333605</v>
      </c>
    </row>
    <row r="78" spans="1:13" s="123" customFormat="1" ht="24" customHeight="1">
      <c r="A78" s="26">
        <v>43215</v>
      </c>
      <c r="B78" s="135">
        <v>43215.810454398146</v>
      </c>
      <c r="C78" s="30" t="s">
        <v>28</v>
      </c>
      <c r="D78" s="30"/>
      <c r="E78" s="30">
        <v>1</v>
      </c>
      <c r="F78" s="30">
        <v>9</v>
      </c>
      <c r="G78" s="27">
        <v>0</v>
      </c>
      <c r="H78" s="165">
        <f t="shared" si="5"/>
        <v>1498</v>
      </c>
      <c r="J78" s="127">
        <f t="shared" si="6"/>
        <v>3</v>
      </c>
      <c r="K78" s="128">
        <f t="shared" si="7"/>
        <v>0</v>
      </c>
      <c r="L78" s="123" t="str">
        <f t="shared" si="0"/>
        <v>SI</v>
      </c>
      <c r="M78" s="140">
        <f t="shared" si="1"/>
        <v>0.81045439814624842</v>
      </c>
    </row>
    <row r="79" spans="1:13" s="123" customFormat="1" ht="24" customHeight="1">
      <c r="A79" s="26">
        <v>43215</v>
      </c>
      <c r="B79" s="135">
        <v>43215.746963773148</v>
      </c>
      <c r="C79" s="30" t="s">
        <v>24</v>
      </c>
      <c r="D79" s="30"/>
      <c r="E79" s="30">
        <v>4</v>
      </c>
      <c r="F79" s="30">
        <v>17</v>
      </c>
      <c r="G79" s="27">
        <v>0</v>
      </c>
      <c r="H79" s="165">
        <f t="shared" si="5"/>
        <v>1497</v>
      </c>
      <c r="J79" s="127">
        <f t="shared" si="6"/>
        <v>5</v>
      </c>
      <c r="K79" s="128">
        <f t="shared" si="7"/>
        <v>0</v>
      </c>
      <c r="L79" s="123" t="str">
        <f t="shared" si="0"/>
        <v>NO</v>
      </c>
      <c r="M79" s="140">
        <f t="shared" si="1"/>
        <v>0.74696377314830897</v>
      </c>
    </row>
    <row r="80" spans="1:13" s="123" customFormat="1" ht="24" customHeight="1">
      <c r="A80" s="26">
        <v>43215</v>
      </c>
      <c r="B80" s="135">
        <v>43215.722268518519</v>
      </c>
      <c r="C80" s="30" t="s">
        <v>113</v>
      </c>
      <c r="D80" s="30"/>
      <c r="E80" s="30">
        <v>1</v>
      </c>
      <c r="F80" s="30">
        <v>0</v>
      </c>
      <c r="G80" s="27">
        <v>0</v>
      </c>
      <c r="H80" s="31">
        <f t="shared" si="5"/>
        <v>1496</v>
      </c>
      <c r="J80" s="127">
        <f t="shared" si="6"/>
        <v>0</v>
      </c>
      <c r="K80" s="128">
        <f t="shared" si="7"/>
        <v>0</v>
      </c>
      <c r="L80" s="123" t="str">
        <f t="shared" si="0"/>
        <v>NO</v>
      </c>
      <c r="M80" s="140">
        <f t="shared" si="1"/>
        <v>0.72226851851883112</v>
      </c>
    </row>
    <row r="81" spans="1:13" s="123" customFormat="1" ht="24" customHeight="1">
      <c r="A81" s="26">
        <v>43215</v>
      </c>
      <c r="B81" s="135">
        <v>43215.707881134258</v>
      </c>
      <c r="C81" s="30" t="s">
        <v>20</v>
      </c>
      <c r="D81" s="30"/>
      <c r="E81" s="30">
        <v>4</v>
      </c>
      <c r="F81" s="30">
        <v>15</v>
      </c>
      <c r="G81" s="27">
        <v>3</v>
      </c>
      <c r="H81" s="165">
        <f t="shared" si="5"/>
        <v>1495</v>
      </c>
      <c r="J81" s="127">
        <f t="shared" si="6"/>
        <v>4</v>
      </c>
      <c r="K81" s="128">
        <f t="shared" si="7"/>
        <v>2</v>
      </c>
      <c r="L81" s="123" t="str">
        <f t="shared" si="0"/>
        <v>NO</v>
      </c>
      <c r="M81" s="140">
        <f t="shared" si="1"/>
        <v>0.70788113425805932</v>
      </c>
    </row>
    <row r="82" spans="1:13" s="123" customFormat="1" ht="24" customHeight="1">
      <c r="A82" s="26">
        <v>43215</v>
      </c>
      <c r="B82" s="135">
        <v>43215.631022569447</v>
      </c>
      <c r="C82" s="30" t="s">
        <v>14</v>
      </c>
      <c r="D82" s="30"/>
      <c r="E82" s="30">
        <v>6</v>
      </c>
      <c r="F82" s="30">
        <v>5</v>
      </c>
      <c r="G82" s="27">
        <v>0</v>
      </c>
      <c r="H82" s="165">
        <f t="shared" si="5"/>
        <v>1494</v>
      </c>
      <c r="J82" s="127">
        <f t="shared" si="6"/>
        <v>2</v>
      </c>
      <c r="K82" s="128">
        <f t="shared" si="7"/>
        <v>0</v>
      </c>
      <c r="L82" s="123" t="str">
        <f t="shared" si="0"/>
        <v>NO</v>
      </c>
      <c r="M82" s="140">
        <f t="shared" si="1"/>
        <v>0.63102256944694091</v>
      </c>
    </row>
    <row r="83" spans="1:13" s="123" customFormat="1" ht="24" customHeight="1">
      <c r="A83" s="26">
        <v>43215</v>
      </c>
      <c r="B83" s="135">
        <v>43215.608556828702</v>
      </c>
      <c r="C83" s="30" t="s">
        <v>18</v>
      </c>
      <c r="D83" s="30"/>
      <c r="E83" s="30">
        <v>4</v>
      </c>
      <c r="F83" s="30">
        <v>5</v>
      </c>
      <c r="G83" s="27">
        <v>0</v>
      </c>
      <c r="H83" s="165">
        <f t="shared" si="5"/>
        <v>1493</v>
      </c>
      <c r="J83" s="127">
        <f t="shared" si="6"/>
        <v>2</v>
      </c>
      <c r="K83" s="128">
        <f t="shared" si="7"/>
        <v>0</v>
      </c>
      <c r="L83" s="123" t="str">
        <f t="shared" si="0"/>
        <v>NO</v>
      </c>
      <c r="M83" s="140">
        <f t="shared" si="1"/>
        <v>0.60855682870169403</v>
      </c>
    </row>
    <row r="84" spans="1:13" s="123" customFormat="1" ht="24" customHeight="1">
      <c r="A84" s="26">
        <v>43215</v>
      </c>
      <c r="B84" s="135">
        <v>43215.591623495369</v>
      </c>
      <c r="C84" s="30" t="s">
        <v>33</v>
      </c>
      <c r="D84" s="30"/>
      <c r="E84" s="30">
        <v>2</v>
      </c>
      <c r="F84" s="30">
        <v>19</v>
      </c>
      <c r="G84" s="27">
        <v>0</v>
      </c>
      <c r="H84" s="165">
        <f t="shared" si="5"/>
        <v>1492</v>
      </c>
      <c r="J84" s="127">
        <f t="shared" si="6"/>
        <v>5</v>
      </c>
      <c r="K84" s="128">
        <f t="shared" si="7"/>
        <v>0</v>
      </c>
      <c r="L84" s="123" t="str">
        <f t="shared" si="0"/>
        <v>NO</v>
      </c>
      <c r="M84" s="140">
        <f t="shared" si="1"/>
        <v>0.5916234953692765</v>
      </c>
    </row>
    <row r="85" spans="1:13" s="123" customFormat="1" ht="24" customHeight="1">
      <c r="A85" s="26">
        <v>43215</v>
      </c>
      <c r="B85" s="135">
        <v>43215.580443171297</v>
      </c>
      <c r="C85" s="30" t="s">
        <v>118</v>
      </c>
      <c r="D85" s="30"/>
      <c r="E85" s="30">
        <v>3</v>
      </c>
      <c r="F85" s="30">
        <v>0</v>
      </c>
      <c r="G85" s="27">
        <v>0</v>
      </c>
      <c r="H85" s="31">
        <f t="shared" si="5"/>
        <v>1491</v>
      </c>
      <c r="J85" s="127">
        <f t="shared" si="6"/>
        <v>0</v>
      </c>
      <c r="K85" s="128">
        <f t="shared" si="7"/>
        <v>0</v>
      </c>
      <c r="L85" s="123" t="str">
        <f t="shared" si="0"/>
        <v>NO</v>
      </c>
      <c r="M85" s="140">
        <f t="shared" si="1"/>
        <v>0.58044317129679257</v>
      </c>
    </row>
    <row r="86" spans="1:13" s="123" customFormat="1" ht="24" customHeight="1">
      <c r="A86" s="26">
        <v>43215</v>
      </c>
      <c r="B86" s="135">
        <v>43215.578166087966</v>
      </c>
      <c r="C86" s="30" t="s">
        <v>77</v>
      </c>
      <c r="D86" s="30"/>
      <c r="E86" s="30">
        <v>2</v>
      </c>
      <c r="F86" s="30">
        <v>11</v>
      </c>
      <c r="G86" s="27">
        <v>0</v>
      </c>
      <c r="H86" s="165">
        <f t="shared" si="5"/>
        <v>1490</v>
      </c>
      <c r="J86" s="127">
        <f t="shared" si="6"/>
        <v>3</v>
      </c>
      <c r="K86" s="128">
        <f t="shared" si="7"/>
        <v>0</v>
      </c>
      <c r="L86" s="123" t="str">
        <f t="shared" si="0"/>
        <v>NO</v>
      </c>
      <c r="M86" s="140">
        <f t="shared" si="1"/>
        <v>0.57816608796565561</v>
      </c>
    </row>
    <row r="87" spans="1:13" s="123" customFormat="1" ht="24" customHeight="1">
      <c r="A87" s="26">
        <v>43215</v>
      </c>
      <c r="B87" s="135">
        <v>43215.542634837962</v>
      </c>
      <c r="C87" s="30" t="s">
        <v>36</v>
      </c>
      <c r="D87" s="30"/>
      <c r="E87" s="30">
        <v>0</v>
      </c>
      <c r="F87" s="30">
        <v>4</v>
      </c>
      <c r="G87" s="27">
        <v>0</v>
      </c>
      <c r="H87" s="165">
        <f t="shared" si="5"/>
        <v>1489</v>
      </c>
      <c r="J87" s="127">
        <f t="shared" si="6"/>
        <v>1</v>
      </c>
      <c r="K87" s="128">
        <f t="shared" si="7"/>
        <v>0</v>
      </c>
      <c r="L87" s="123" t="str">
        <f t="shared" si="0"/>
        <v>NO</v>
      </c>
      <c r="M87" s="140">
        <f t="shared" si="1"/>
        <v>0.54263483796239598</v>
      </c>
    </row>
    <row r="88" spans="1:13" s="123" customFormat="1" ht="24" customHeight="1">
      <c r="A88" s="26">
        <v>43215</v>
      </c>
      <c r="B88" s="135">
        <v>43215.536917708334</v>
      </c>
      <c r="C88" s="30" t="s">
        <v>79</v>
      </c>
      <c r="D88" s="30"/>
      <c r="E88" s="30">
        <v>1</v>
      </c>
      <c r="F88" s="30">
        <v>0</v>
      </c>
      <c r="G88" s="27">
        <v>4</v>
      </c>
      <c r="H88" s="165">
        <f t="shared" si="5"/>
        <v>1488</v>
      </c>
      <c r="J88" s="127">
        <f t="shared" si="6"/>
        <v>0</v>
      </c>
      <c r="K88" s="128">
        <f t="shared" si="7"/>
        <v>2</v>
      </c>
      <c r="L88" s="123" t="str">
        <f t="shared" si="0"/>
        <v>NO</v>
      </c>
      <c r="M88" s="140">
        <f t="shared" si="1"/>
        <v>0.53691770833393093</v>
      </c>
    </row>
    <row r="89" spans="1:13" s="123" customFormat="1" ht="24" customHeight="1">
      <c r="A89" s="26">
        <v>43215</v>
      </c>
      <c r="B89" s="135">
        <v>43215.525047222225</v>
      </c>
      <c r="C89" s="30" t="s">
        <v>36</v>
      </c>
      <c r="D89" s="30"/>
      <c r="E89" s="30">
        <v>0</v>
      </c>
      <c r="F89" s="30">
        <v>8</v>
      </c>
      <c r="G89" s="27">
        <v>0</v>
      </c>
      <c r="H89" s="165">
        <f t="shared" si="5"/>
        <v>1487</v>
      </c>
      <c r="J89" s="127">
        <f t="shared" si="6"/>
        <v>2</v>
      </c>
      <c r="K89" s="128">
        <f t="shared" si="7"/>
        <v>0</v>
      </c>
      <c r="L89" s="123" t="str">
        <f t="shared" si="0"/>
        <v>NO</v>
      </c>
      <c r="M89" s="140">
        <f t="shared" si="1"/>
        <v>0.52504722222511191</v>
      </c>
    </row>
    <row r="90" spans="1:13" s="123" customFormat="1" ht="24" customHeight="1">
      <c r="A90" s="26">
        <v>43215</v>
      </c>
      <c r="B90" s="135">
        <v>43215.51983553241</v>
      </c>
      <c r="C90" s="30" t="s">
        <v>27</v>
      </c>
      <c r="D90" s="30"/>
      <c r="E90" s="30">
        <v>10</v>
      </c>
      <c r="F90" s="30">
        <v>23</v>
      </c>
      <c r="G90" s="27">
        <v>4</v>
      </c>
      <c r="H90" s="31">
        <f t="shared" si="5"/>
        <v>1486</v>
      </c>
      <c r="J90" s="127">
        <f t="shared" si="6"/>
        <v>6</v>
      </c>
      <c r="K90" s="128">
        <f t="shared" si="7"/>
        <v>2</v>
      </c>
      <c r="L90" s="123" t="str">
        <f t="shared" si="0"/>
        <v>NO</v>
      </c>
      <c r="M90" s="140">
        <f t="shared" si="1"/>
        <v>0.5198355324100703</v>
      </c>
    </row>
    <row r="91" spans="1:13" s="123" customFormat="1" ht="24" customHeight="1">
      <c r="A91" s="26">
        <v>43215</v>
      </c>
      <c r="B91" s="135">
        <v>43215.477870833332</v>
      </c>
      <c r="C91" s="30" t="s">
        <v>19</v>
      </c>
      <c r="D91" s="30"/>
      <c r="E91" s="30">
        <v>2</v>
      </c>
      <c r="F91" s="30">
        <v>2</v>
      </c>
      <c r="G91" s="27">
        <v>2</v>
      </c>
      <c r="H91" s="165">
        <f t="shared" si="5"/>
        <v>1485</v>
      </c>
      <c r="J91" s="127">
        <f t="shared" si="6"/>
        <v>1</v>
      </c>
      <c r="K91" s="128">
        <f t="shared" si="7"/>
        <v>1</v>
      </c>
      <c r="L91" s="123" t="str">
        <f t="shared" si="0"/>
        <v>NO</v>
      </c>
      <c r="M91" s="140">
        <f t="shared" si="1"/>
        <v>0.47787083333241753</v>
      </c>
    </row>
    <row r="92" spans="1:13" s="123" customFormat="1" ht="24" customHeight="1">
      <c r="A92" s="26">
        <v>43215</v>
      </c>
      <c r="B92" s="135">
        <v>43215.368054398146</v>
      </c>
      <c r="C92" s="30" t="s">
        <v>13</v>
      </c>
      <c r="D92" s="30"/>
      <c r="E92" s="30">
        <v>14</v>
      </c>
      <c r="F92" s="30">
        <v>40</v>
      </c>
      <c r="G92" s="27">
        <v>5</v>
      </c>
      <c r="H92" s="31">
        <f t="shared" si="5"/>
        <v>1484</v>
      </c>
      <c r="J92" s="127">
        <f t="shared" si="6"/>
        <v>10</v>
      </c>
      <c r="K92" s="128">
        <f t="shared" si="7"/>
        <v>3</v>
      </c>
      <c r="L92" s="123" t="str">
        <f t="shared" si="0"/>
        <v>NO</v>
      </c>
      <c r="M92" s="140">
        <f t="shared" si="1"/>
        <v>0.36805439814634155</v>
      </c>
    </row>
    <row r="93" spans="1:13" s="123" customFormat="1" ht="24" customHeight="1">
      <c r="A93" s="26">
        <v>43215</v>
      </c>
      <c r="B93" s="135">
        <v>43215.326673148149</v>
      </c>
      <c r="C93" s="30" t="s">
        <v>13</v>
      </c>
      <c r="D93" s="30"/>
      <c r="E93" s="30">
        <v>2</v>
      </c>
      <c r="F93" s="30">
        <v>20</v>
      </c>
      <c r="G93" s="27">
        <v>0</v>
      </c>
      <c r="H93" s="165">
        <f t="shared" si="5"/>
        <v>1483</v>
      </c>
      <c r="J93" s="127">
        <f t="shared" si="6"/>
        <v>5</v>
      </c>
      <c r="K93" s="128">
        <f t="shared" si="7"/>
        <v>0</v>
      </c>
      <c r="L93" s="123" t="str">
        <f t="shared" si="0"/>
        <v>NO</v>
      </c>
      <c r="M93" s="140">
        <f t="shared" si="1"/>
        <v>0.32667314814898418</v>
      </c>
    </row>
    <row r="94" spans="1:13" s="123" customFormat="1" ht="24" customHeight="1">
      <c r="A94" s="26">
        <v>43214</v>
      </c>
      <c r="B94" s="135">
        <v>43214.984712847225</v>
      </c>
      <c r="C94" s="30" t="s">
        <v>122</v>
      </c>
      <c r="D94" s="30"/>
      <c r="E94" s="30">
        <v>4</v>
      </c>
      <c r="F94" s="30">
        <v>4</v>
      </c>
      <c r="G94" s="27">
        <v>0</v>
      </c>
      <c r="H94" s="31">
        <f t="shared" si="5"/>
        <v>1482</v>
      </c>
      <c r="J94" s="127">
        <f t="shared" si="6"/>
        <v>1</v>
      </c>
      <c r="K94" s="128">
        <f t="shared" si="7"/>
        <v>0</v>
      </c>
      <c r="L94" s="123" t="str">
        <f t="shared" si="0"/>
        <v>SI</v>
      </c>
      <c r="M94" s="140">
        <f t="shared" si="1"/>
        <v>0.98471284722472774</v>
      </c>
    </row>
    <row r="95" spans="1:13" s="123" customFormat="1" ht="24" customHeight="1">
      <c r="A95" s="26">
        <v>43214</v>
      </c>
      <c r="B95" s="135">
        <v>43214.807247453704</v>
      </c>
      <c r="C95" s="30" t="s">
        <v>36</v>
      </c>
      <c r="D95" s="30"/>
      <c r="E95" s="30">
        <v>2</v>
      </c>
      <c r="F95" s="30">
        <v>6</v>
      </c>
      <c r="G95" s="27">
        <v>0</v>
      </c>
      <c r="H95" s="165">
        <f t="shared" si="5"/>
        <v>1481</v>
      </c>
      <c r="J95" s="127">
        <f t="shared" si="6"/>
        <v>2</v>
      </c>
      <c r="K95" s="128">
        <f t="shared" si="7"/>
        <v>0</v>
      </c>
      <c r="L95" s="123" t="str">
        <f t="shared" si="0"/>
        <v>SI</v>
      </c>
      <c r="M95" s="140">
        <f t="shared" si="1"/>
        <v>0.80724745370389428</v>
      </c>
    </row>
    <row r="96" spans="1:13" s="123" customFormat="1" ht="24" customHeight="1">
      <c r="A96" s="26">
        <v>43214</v>
      </c>
      <c r="B96" s="135">
        <v>43214.743428009257</v>
      </c>
      <c r="C96" s="30" t="s">
        <v>11</v>
      </c>
      <c r="D96" s="30"/>
      <c r="E96" s="30">
        <v>0</v>
      </c>
      <c r="F96" s="30">
        <v>9</v>
      </c>
      <c r="G96" s="27">
        <v>4</v>
      </c>
      <c r="H96" s="165">
        <f t="shared" si="5"/>
        <v>1480</v>
      </c>
      <c r="J96" s="127">
        <f t="shared" si="6"/>
        <v>3</v>
      </c>
      <c r="K96" s="128">
        <f t="shared" si="7"/>
        <v>2</v>
      </c>
      <c r="L96" s="123" t="str">
        <f t="shared" si="0"/>
        <v>NO</v>
      </c>
      <c r="M96" s="140">
        <f t="shared" si="1"/>
        <v>0.74342800925660413</v>
      </c>
    </row>
    <row r="97" spans="1:13" s="123" customFormat="1" ht="24" customHeight="1">
      <c r="A97" s="26">
        <v>43214</v>
      </c>
      <c r="B97" s="135">
        <v>43214.743057523148</v>
      </c>
      <c r="C97" s="30" t="s">
        <v>18</v>
      </c>
      <c r="D97" s="30"/>
      <c r="E97" s="30">
        <v>2</v>
      </c>
      <c r="F97" s="30">
        <v>8</v>
      </c>
      <c r="G97" s="27">
        <v>0</v>
      </c>
      <c r="H97" s="165">
        <f t="shared" si="5"/>
        <v>1479</v>
      </c>
      <c r="J97" s="127">
        <f t="shared" si="6"/>
        <v>2</v>
      </c>
      <c r="K97" s="128">
        <f t="shared" si="7"/>
        <v>0</v>
      </c>
      <c r="L97" s="123" t="str">
        <f t="shared" si="0"/>
        <v>NO</v>
      </c>
      <c r="M97" s="140">
        <f t="shared" si="1"/>
        <v>0.74305752314830897</v>
      </c>
    </row>
    <row r="98" spans="1:13" s="123" customFormat="1" ht="24" customHeight="1">
      <c r="A98" s="26">
        <v>43214</v>
      </c>
      <c r="B98" s="135">
        <v>43214.739117245372</v>
      </c>
      <c r="C98" s="30" t="s">
        <v>36</v>
      </c>
      <c r="D98" s="30"/>
      <c r="E98" s="30">
        <v>0</v>
      </c>
      <c r="F98" s="30">
        <v>8</v>
      </c>
      <c r="G98" s="27">
        <v>0</v>
      </c>
      <c r="H98" s="165">
        <f t="shared" si="5"/>
        <v>1478</v>
      </c>
      <c r="J98" s="127">
        <f t="shared" si="6"/>
        <v>2</v>
      </c>
      <c r="K98" s="128">
        <f t="shared" si="7"/>
        <v>0</v>
      </c>
      <c r="L98" s="123" t="str">
        <f t="shared" si="0"/>
        <v>NO</v>
      </c>
      <c r="M98" s="140">
        <f t="shared" si="1"/>
        <v>0.7391172453717445</v>
      </c>
    </row>
    <row r="99" spans="1:13" s="123" customFormat="1" ht="24" customHeight="1">
      <c r="A99" s="26">
        <v>43214</v>
      </c>
      <c r="B99" s="135">
        <v>43214.730037152774</v>
      </c>
      <c r="C99" s="30" t="s">
        <v>20</v>
      </c>
      <c r="D99" s="30"/>
      <c r="E99" s="30">
        <v>4</v>
      </c>
      <c r="F99" s="30">
        <v>11</v>
      </c>
      <c r="G99" s="27">
        <v>0</v>
      </c>
      <c r="H99" s="165">
        <f t="shared" si="5"/>
        <v>1477</v>
      </c>
      <c r="J99" s="127">
        <f t="shared" si="6"/>
        <v>3</v>
      </c>
      <c r="K99" s="128">
        <f t="shared" si="7"/>
        <v>0</v>
      </c>
      <c r="L99" s="123" t="str">
        <f t="shared" si="0"/>
        <v>NO</v>
      </c>
      <c r="M99" s="140">
        <f t="shared" si="1"/>
        <v>0.73003715277445735</v>
      </c>
    </row>
    <row r="100" spans="1:13" s="123" customFormat="1" ht="24" customHeight="1">
      <c r="A100" s="26">
        <v>43214</v>
      </c>
      <c r="B100" s="135">
        <v>43214.720846296295</v>
      </c>
      <c r="C100" s="30" t="s">
        <v>14</v>
      </c>
      <c r="D100" s="30"/>
      <c r="E100" s="30">
        <v>9</v>
      </c>
      <c r="F100" s="30">
        <v>7</v>
      </c>
      <c r="G100" s="27">
        <v>4</v>
      </c>
      <c r="H100" s="165">
        <f t="shared" si="5"/>
        <v>1476</v>
      </c>
      <c r="J100" s="127">
        <f t="shared" si="6"/>
        <v>2</v>
      </c>
      <c r="K100" s="128">
        <f t="shared" si="7"/>
        <v>2</v>
      </c>
      <c r="L100" s="123" t="str">
        <f t="shared" si="0"/>
        <v>NO</v>
      </c>
      <c r="M100" s="140">
        <f t="shared" si="1"/>
        <v>0.72084629629534902</v>
      </c>
    </row>
    <row r="101" spans="1:13" s="123" customFormat="1" ht="24" customHeight="1">
      <c r="A101" s="26">
        <v>43214</v>
      </c>
      <c r="B101" s="135">
        <v>43214.702463194444</v>
      </c>
      <c r="C101" s="30" t="s">
        <v>15</v>
      </c>
      <c r="D101" s="30"/>
      <c r="E101" s="30">
        <v>0</v>
      </c>
      <c r="F101" s="30">
        <v>13</v>
      </c>
      <c r="G101" s="27">
        <v>0</v>
      </c>
      <c r="H101" s="165">
        <f t="shared" si="5"/>
        <v>1475</v>
      </c>
      <c r="J101" s="127">
        <f t="shared" si="6"/>
        <v>4</v>
      </c>
      <c r="K101" s="128">
        <f t="shared" si="7"/>
        <v>0</v>
      </c>
      <c r="L101" s="123" t="str">
        <f t="shared" si="0"/>
        <v>NO</v>
      </c>
      <c r="M101" s="140">
        <f t="shared" si="1"/>
        <v>0.7024631944441353</v>
      </c>
    </row>
    <row r="102" spans="1:13" s="123" customFormat="1" ht="24" customHeight="1">
      <c r="A102" s="26">
        <v>43214</v>
      </c>
      <c r="B102" s="135">
        <v>43214.695138425923</v>
      </c>
      <c r="C102" s="30" t="s">
        <v>121</v>
      </c>
      <c r="D102" s="30"/>
      <c r="E102" s="30">
        <v>1</v>
      </c>
      <c r="F102" s="30">
        <v>0</v>
      </c>
      <c r="G102" s="27">
        <v>0</v>
      </c>
      <c r="H102" s="165">
        <f t="shared" si="5"/>
        <v>1474</v>
      </c>
      <c r="J102" s="127">
        <f t="shared" si="6"/>
        <v>0</v>
      </c>
      <c r="K102" s="128">
        <f t="shared" si="7"/>
        <v>0</v>
      </c>
      <c r="L102" s="123" t="str">
        <f t="shared" si="0"/>
        <v>NO</v>
      </c>
      <c r="M102" s="140">
        <f t="shared" si="1"/>
        <v>0.69513842592277797</v>
      </c>
    </row>
    <row r="103" spans="1:13" s="123" customFormat="1" ht="24" customHeight="1">
      <c r="A103" s="26">
        <v>43214</v>
      </c>
      <c r="B103" s="135">
        <v>43214.694925231481</v>
      </c>
      <c r="C103" s="30" t="s">
        <v>24</v>
      </c>
      <c r="D103" s="30"/>
      <c r="E103" s="30">
        <v>3</v>
      </c>
      <c r="F103" s="30">
        <v>6</v>
      </c>
      <c r="G103" s="27">
        <v>0</v>
      </c>
      <c r="H103" s="165">
        <f t="shared" ref="H103:H166" si="8">+H104+1</f>
        <v>1473</v>
      </c>
      <c r="J103" s="127">
        <f t="shared" ref="J103:J166" si="9">+ROUNDUP(F103/4,0)</f>
        <v>2</v>
      </c>
      <c r="K103" s="128">
        <f t="shared" ref="K103:K166" si="10">+ROUNDUP(G103/2,0)</f>
        <v>0</v>
      </c>
      <c r="L103" s="123" t="str">
        <f t="shared" si="0"/>
        <v>NO</v>
      </c>
      <c r="M103" s="140">
        <f t="shared" si="1"/>
        <v>0.69492523148073815</v>
      </c>
    </row>
    <row r="104" spans="1:13" s="123" customFormat="1" ht="24" customHeight="1">
      <c r="A104" s="26">
        <v>43214</v>
      </c>
      <c r="B104" s="135">
        <v>43214.674788773147</v>
      </c>
      <c r="C104" s="30" t="s">
        <v>89</v>
      </c>
      <c r="D104" s="30"/>
      <c r="E104" s="30">
        <v>1</v>
      </c>
      <c r="F104" s="30">
        <v>6</v>
      </c>
      <c r="G104" s="27">
        <v>0</v>
      </c>
      <c r="H104" s="31">
        <f t="shared" si="8"/>
        <v>1472</v>
      </c>
      <c r="J104" s="127">
        <f t="shared" si="9"/>
        <v>2</v>
      </c>
      <c r="K104" s="128">
        <f t="shared" si="10"/>
        <v>0</v>
      </c>
      <c r="L104" s="123" t="str">
        <f t="shared" si="0"/>
        <v>NO</v>
      </c>
      <c r="M104" s="140">
        <f t="shared" si="1"/>
        <v>0.67478877314715646</v>
      </c>
    </row>
    <row r="105" spans="1:13" s="123" customFormat="1" ht="24" customHeight="1">
      <c r="A105" s="26">
        <v>43214</v>
      </c>
      <c r="B105" s="135">
        <v>43214.655650810186</v>
      </c>
      <c r="C105" s="30" t="s">
        <v>107</v>
      </c>
      <c r="D105" s="30"/>
      <c r="E105" s="30">
        <v>4</v>
      </c>
      <c r="F105" s="30">
        <v>18</v>
      </c>
      <c r="G105" s="27">
        <v>0</v>
      </c>
      <c r="H105" s="31">
        <f t="shared" si="8"/>
        <v>1471</v>
      </c>
      <c r="J105" s="127">
        <f t="shared" si="9"/>
        <v>5</v>
      </c>
      <c r="K105" s="128">
        <f t="shared" si="10"/>
        <v>0</v>
      </c>
      <c r="L105" s="123" t="str">
        <f t="shared" si="0"/>
        <v>NO</v>
      </c>
      <c r="M105" s="140">
        <f t="shared" si="1"/>
        <v>0.65565081018576166</v>
      </c>
    </row>
    <row r="106" spans="1:13" s="123" customFormat="1" ht="24" customHeight="1">
      <c r="A106" s="26">
        <v>43214</v>
      </c>
      <c r="B106" s="135">
        <v>43214.602838773149</v>
      </c>
      <c r="C106" s="30" t="s">
        <v>33</v>
      </c>
      <c r="D106" s="30"/>
      <c r="E106" s="30">
        <v>5</v>
      </c>
      <c r="F106" s="30">
        <v>19</v>
      </c>
      <c r="G106" s="27">
        <v>0</v>
      </c>
      <c r="H106" s="165">
        <f t="shared" si="8"/>
        <v>1470</v>
      </c>
      <c r="J106" s="127">
        <f t="shared" si="9"/>
        <v>5</v>
      </c>
      <c r="K106" s="128">
        <f t="shared" si="10"/>
        <v>0</v>
      </c>
      <c r="L106" s="123" t="str">
        <f t="shared" si="0"/>
        <v>NO</v>
      </c>
      <c r="M106" s="140">
        <f t="shared" si="1"/>
        <v>0.60283877314941492</v>
      </c>
    </row>
    <row r="107" spans="1:13" s="123" customFormat="1" ht="24" customHeight="1">
      <c r="A107" s="26">
        <v>43214</v>
      </c>
      <c r="B107" s="135">
        <v>43214.585581828702</v>
      </c>
      <c r="C107" s="30" t="s">
        <v>25</v>
      </c>
      <c r="D107" s="30"/>
      <c r="E107" s="30">
        <v>2</v>
      </c>
      <c r="F107" s="30">
        <v>0</v>
      </c>
      <c r="G107" s="27">
        <v>0</v>
      </c>
      <c r="H107" s="165">
        <f t="shared" si="8"/>
        <v>1469</v>
      </c>
      <c r="J107" s="127">
        <f t="shared" si="9"/>
        <v>0</v>
      </c>
      <c r="K107" s="128">
        <f t="shared" si="10"/>
        <v>0</v>
      </c>
      <c r="L107" s="123" t="str">
        <f t="shared" si="0"/>
        <v>NO</v>
      </c>
      <c r="M107" s="140">
        <f t="shared" si="1"/>
        <v>0.58558182870183373</v>
      </c>
    </row>
    <row r="108" spans="1:13" s="123" customFormat="1" ht="24" customHeight="1">
      <c r="A108" s="26">
        <v>43214</v>
      </c>
      <c r="B108" s="135">
        <v>43214.524527314818</v>
      </c>
      <c r="C108" s="30" t="s">
        <v>36</v>
      </c>
      <c r="D108" s="30"/>
      <c r="E108" s="30">
        <v>0</v>
      </c>
      <c r="F108" s="30">
        <v>5</v>
      </c>
      <c r="G108" s="27">
        <v>0</v>
      </c>
      <c r="H108" s="165">
        <f t="shared" si="8"/>
        <v>1468</v>
      </c>
      <c r="J108" s="127">
        <f t="shared" si="9"/>
        <v>2</v>
      </c>
      <c r="K108" s="128">
        <f t="shared" si="10"/>
        <v>0</v>
      </c>
      <c r="L108" s="123" t="str">
        <f t="shared" si="0"/>
        <v>NO</v>
      </c>
      <c r="M108" s="140">
        <f t="shared" si="1"/>
        <v>0.5245273148175329</v>
      </c>
    </row>
    <row r="109" spans="1:13" s="123" customFormat="1" ht="24" customHeight="1">
      <c r="A109" s="26">
        <v>43214</v>
      </c>
      <c r="B109" s="135">
        <v>43214.52385972222</v>
      </c>
      <c r="C109" s="30" t="s">
        <v>79</v>
      </c>
      <c r="D109" s="30"/>
      <c r="E109" s="30">
        <v>9</v>
      </c>
      <c r="F109" s="30">
        <v>0</v>
      </c>
      <c r="G109" s="27">
        <v>7</v>
      </c>
      <c r="H109" s="165">
        <f t="shared" si="8"/>
        <v>1467</v>
      </c>
      <c r="J109" s="127">
        <f t="shared" si="9"/>
        <v>0</v>
      </c>
      <c r="K109" s="128">
        <f t="shared" si="10"/>
        <v>4</v>
      </c>
      <c r="L109" s="123" t="str">
        <f t="shared" si="0"/>
        <v>NO</v>
      </c>
      <c r="M109" s="140">
        <f t="shared" si="1"/>
        <v>0.52385972221964039</v>
      </c>
    </row>
    <row r="110" spans="1:13" s="123" customFormat="1" ht="24" customHeight="1">
      <c r="A110" s="26">
        <v>43214</v>
      </c>
      <c r="B110" s="135">
        <v>43214.485771296298</v>
      </c>
      <c r="C110" s="30" t="s">
        <v>27</v>
      </c>
      <c r="D110" s="30"/>
      <c r="E110" s="30">
        <v>10</v>
      </c>
      <c r="F110" s="30">
        <v>26</v>
      </c>
      <c r="G110" s="27">
        <v>0</v>
      </c>
      <c r="H110" s="31">
        <f t="shared" si="8"/>
        <v>1466</v>
      </c>
      <c r="J110" s="127">
        <f t="shared" si="9"/>
        <v>7</v>
      </c>
      <c r="K110" s="128">
        <f t="shared" si="10"/>
        <v>0</v>
      </c>
      <c r="L110" s="123" t="str">
        <f t="shared" si="0"/>
        <v>NO</v>
      </c>
      <c r="M110" s="140">
        <f t="shared" si="1"/>
        <v>0.48577129629848059</v>
      </c>
    </row>
    <row r="111" spans="1:13" s="123" customFormat="1" ht="24" customHeight="1">
      <c r="A111" s="26">
        <v>43214</v>
      </c>
      <c r="B111" s="135">
        <v>43214.480560185184</v>
      </c>
      <c r="C111" s="30" t="s">
        <v>13</v>
      </c>
      <c r="D111" s="30"/>
      <c r="E111" s="30">
        <v>0</v>
      </c>
      <c r="F111" s="30">
        <v>0</v>
      </c>
      <c r="G111" s="27">
        <v>2</v>
      </c>
      <c r="H111" s="165">
        <f t="shared" si="8"/>
        <v>1465</v>
      </c>
      <c r="J111" s="127">
        <f t="shared" si="9"/>
        <v>0</v>
      </c>
      <c r="K111" s="128">
        <f t="shared" si="10"/>
        <v>1</v>
      </c>
      <c r="L111" s="123" t="str">
        <f t="shared" si="0"/>
        <v>NO</v>
      </c>
      <c r="M111" s="140">
        <f t="shared" si="1"/>
        <v>0.48056018518400379</v>
      </c>
    </row>
    <row r="112" spans="1:13" s="123" customFormat="1" ht="24" customHeight="1">
      <c r="A112" s="26">
        <v>43214</v>
      </c>
      <c r="B112" s="135">
        <v>43214.479379861114</v>
      </c>
      <c r="C112" s="30" t="s">
        <v>19</v>
      </c>
      <c r="D112" s="30"/>
      <c r="E112" s="30">
        <v>0</v>
      </c>
      <c r="F112" s="30">
        <v>7</v>
      </c>
      <c r="G112" s="27">
        <v>2</v>
      </c>
      <c r="H112" s="165">
        <f t="shared" si="8"/>
        <v>1464</v>
      </c>
      <c r="J112" s="127">
        <f t="shared" si="9"/>
        <v>2</v>
      </c>
      <c r="K112" s="128">
        <f t="shared" si="10"/>
        <v>1</v>
      </c>
      <c r="L112" s="123" t="str">
        <f t="shared" si="0"/>
        <v>NO</v>
      </c>
      <c r="M112" s="140">
        <f t="shared" si="1"/>
        <v>0.47937986111355713</v>
      </c>
    </row>
    <row r="113" spans="1:13" s="123" customFormat="1" ht="24" customHeight="1">
      <c r="A113" s="26">
        <v>43214</v>
      </c>
      <c r="B113" s="135">
        <v>43214.479255439815</v>
      </c>
      <c r="C113" s="30" t="s">
        <v>19</v>
      </c>
      <c r="D113" s="30"/>
      <c r="E113" s="30">
        <v>0</v>
      </c>
      <c r="F113" s="30">
        <v>7</v>
      </c>
      <c r="G113" s="27">
        <v>2</v>
      </c>
      <c r="H113" s="165">
        <f t="shared" si="8"/>
        <v>1463</v>
      </c>
      <c r="J113" s="127">
        <f t="shared" si="9"/>
        <v>2</v>
      </c>
      <c r="K113" s="128">
        <f t="shared" si="10"/>
        <v>1</v>
      </c>
      <c r="L113" s="123" t="str">
        <f t="shared" si="0"/>
        <v>NO</v>
      </c>
      <c r="M113" s="140">
        <f t="shared" si="1"/>
        <v>0.4792554398154607</v>
      </c>
    </row>
    <row r="114" spans="1:13" s="123" customFormat="1" ht="24" customHeight="1">
      <c r="A114" s="26">
        <v>43214</v>
      </c>
      <c r="B114" s="135">
        <v>43214.404889699072</v>
      </c>
      <c r="C114" s="30" t="s">
        <v>34</v>
      </c>
      <c r="D114" s="30"/>
      <c r="E114" s="30">
        <v>2</v>
      </c>
      <c r="F114" s="30">
        <v>28</v>
      </c>
      <c r="G114" s="27">
        <v>1</v>
      </c>
      <c r="H114" s="165">
        <f t="shared" si="8"/>
        <v>1462</v>
      </c>
      <c r="J114" s="127">
        <f t="shared" si="9"/>
        <v>7</v>
      </c>
      <c r="K114" s="128">
        <f t="shared" si="10"/>
        <v>1</v>
      </c>
      <c r="L114" s="123" t="str">
        <f t="shared" si="0"/>
        <v>NO</v>
      </c>
      <c r="M114" s="140">
        <f t="shared" si="1"/>
        <v>0.40488969907164574</v>
      </c>
    </row>
    <row r="115" spans="1:13" s="123" customFormat="1" ht="24" customHeight="1">
      <c r="A115" s="26">
        <v>43214</v>
      </c>
      <c r="B115" s="135">
        <v>43214.383333333331</v>
      </c>
      <c r="C115" s="30" t="s">
        <v>13</v>
      </c>
      <c r="D115" s="30"/>
      <c r="E115" s="30">
        <v>12</v>
      </c>
      <c r="F115" s="30">
        <v>32</v>
      </c>
      <c r="G115" s="27">
        <v>7</v>
      </c>
      <c r="H115" s="31">
        <f t="shared" si="8"/>
        <v>1461</v>
      </c>
      <c r="J115" s="127">
        <f t="shared" si="9"/>
        <v>8</v>
      </c>
      <c r="K115" s="128">
        <f t="shared" si="10"/>
        <v>4</v>
      </c>
      <c r="L115" s="123" t="str">
        <f t="shared" si="0"/>
        <v>NO</v>
      </c>
      <c r="M115" s="140">
        <f t="shared" si="1"/>
        <v>0.38333333333139308</v>
      </c>
    </row>
    <row r="116" spans="1:13" s="123" customFormat="1" ht="24" customHeight="1">
      <c r="A116" s="26">
        <v>43214</v>
      </c>
      <c r="B116" s="135">
        <v>43214.346284027779</v>
      </c>
      <c r="C116" s="30" t="s">
        <v>13</v>
      </c>
      <c r="D116" s="30"/>
      <c r="E116" s="30">
        <v>13</v>
      </c>
      <c r="F116" s="30">
        <v>24</v>
      </c>
      <c r="G116" s="27">
        <v>0</v>
      </c>
      <c r="H116" s="165">
        <f t="shared" si="8"/>
        <v>1460</v>
      </c>
      <c r="J116" s="127">
        <f t="shared" si="9"/>
        <v>6</v>
      </c>
      <c r="K116" s="128">
        <f t="shared" si="10"/>
        <v>0</v>
      </c>
      <c r="L116" s="123" t="str">
        <f t="shared" si="0"/>
        <v>NO</v>
      </c>
      <c r="M116" s="140">
        <f t="shared" si="1"/>
        <v>0.34628402777889278</v>
      </c>
    </row>
    <row r="117" spans="1:13" s="123" customFormat="1" ht="24" customHeight="1">
      <c r="A117" s="26">
        <v>43214</v>
      </c>
      <c r="B117" s="135">
        <v>43214.308560069447</v>
      </c>
      <c r="C117" s="30" t="s">
        <v>13</v>
      </c>
      <c r="D117" s="30"/>
      <c r="E117" s="30">
        <v>0</v>
      </c>
      <c r="F117" s="30">
        <v>8</v>
      </c>
      <c r="G117" s="27">
        <v>0</v>
      </c>
      <c r="H117" s="165">
        <f t="shared" si="8"/>
        <v>1459</v>
      </c>
      <c r="J117" s="127">
        <f t="shared" si="9"/>
        <v>2</v>
      </c>
      <c r="K117" s="128">
        <f t="shared" si="10"/>
        <v>0</v>
      </c>
      <c r="L117" s="123" t="str">
        <f t="shared" si="0"/>
        <v>NO</v>
      </c>
      <c r="M117" s="140">
        <f t="shared" si="1"/>
        <v>0.30856006944668479</v>
      </c>
    </row>
    <row r="118" spans="1:13" s="123" customFormat="1" ht="24" customHeight="1">
      <c r="A118" s="26">
        <v>43213</v>
      </c>
      <c r="B118" s="135">
        <v>43213.927089814817</v>
      </c>
      <c r="C118" s="30" t="s">
        <v>26</v>
      </c>
      <c r="D118" s="30"/>
      <c r="E118" s="30">
        <v>3</v>
      </c>
      <c r="F118" s="30">
        <v>6</v>
      </c>
      <c r="G118" s="27">
        <v>0</v>
      </c>
      <c r="H118" s="31">
        <f t="shared" si="8"/>
        <v>1458</v>
      </c>
      <c r="J118" s="127">
        <f t="shared" si="9"/>
        <v>2</v>
      </c>
      <c r="K118" s="128">
        <f t="shared" si="10"/>
        <v>0</v>
      </c>
      <c r="L118" s="123" t="str">
        <f t="shared" si="0"/>
        <v>SI</v>
      </c>
      <c r="M118" s="140">
        <f t="shared" si="1"/>
        <v>0.92708981481700903</v>
      </c>
    </row>
    <row r="119" spans="1:13" s="123" customFormat="1" ht="24" customHeight="1">
      <c r="A119" s="26">
        <v>43213</v>
      </c>
      <c r="B119" s="135">
        <v>43213.920938078707</v>
      </c>
      <c r="C119" s="30" t="s">
        <v>36</v>
      </c>
      <c r="D119" s="30"/>
      <c r="E119" s="30">
        <v>4</v>
      </c>
      <c r="F119" s="30">
        <v>16</v>
      </c>
      <c r="G119" s="27">
        <v>0</v>
      </c>
      <c r="H119" s="165">
        <f t="shared" si="8"/>
        <v>1457</v>
      </c>
      <c r="J119" s="127">
        <f t="shared" si="9"/>
        <v>4</v>
      </c>
      <c r="K119" s="128">
        <f t="shared" si="10"/>
        <v>0</v>
      </c>
      <c r="L119" s="123" t="str">
        <f t="shared" si="0"/>
        <v>SI</v>
      </c>
      <c r="M119" s="140">
        <f t="shared" si="1"/>
        <v>0.92093807870696764</v>
      </c>
    </row>
    <row r="120" spans="1:13" s="123" customFormat="1" ht="24" customHeight="1">
      <c r="A120" s="26">
        <v>43213</v>
      </c>
      <c r="B120" s="135">
        <v>43213.825197685183</v>
      </c>
      <c r="C120" s="30" t="s">
        <v>11</v>
      </c>
      <c r="D120" s="30"/>
      <c r="E120" s="30">
        <v>0</v>
      </c>
      <c r="F120" s="30">
        <v>12</v>
      </c>
      <c r="G120" s="27">
        <v>0</v>
      </c>
      <c r="H120" s="31">
        <f t="shared" si="8"/>
        <v>1456</v>
      </c>
      <c r="J120" s="127">
        <f t="shared" si="9"/>
        <v>3</v>
      </c>
      <c r="K120" s="128">
        <f t="shared" si="10"/>
        <v>0</v>
      </c>
      <c r="L120" s="123" t="str">
        <f t="shared" si="0"/>
        <v>SI</v>
      </c>
      <c r="M120" s="140">
        <f t="shared" si="1"/>
        <v>0.82519768518250203</v>
      </c>
    </row>
    <row r="121" spans="1:13" s="123" customFormat="1" ht="24" customHeight="1">
      <c r="A121" s="26">
        <v>43213</v>
      </c>
      <c r="B121" s="135">
        <v>43213.817538310184</v>
      </c>
      <c r="C121" s="30" t="s">
        <v>36</v>
      </c>
      <c r="D121" s="30"/>
      <c r="E121" s="30">
        <v>0</v>
      </c>
      <c r="F121" s="30">
        <v>1</v>
      </c>
      <c r="G121" s="27">
        <v>0</v>
      </c>
      <c r="H121" s="165">
        <f t="shared" si="8"/>
        <v>1455</v>
      </c>
      <c r="J121" s="127">
        <f t="shared" si="9"/>
        <v>1</v>
      </c>
      <c r="K121" s="128">
        <f t="shared" si="10"/>
        <v>0</v>
      </c>
      <c r="L121" s="123" t="str">
        <f t="shared" si="0"/>
        <v>SI</v>
      </c>
      <c r="M121" s="140">
        <f t="shared" si="1"/>
        <v>0.81753831018431811</v>
      </c>
    </row>
    <row r="122" spans="1:13" s="123" customFormat="1" ht="24" customHeight="1">
      <c r="A122" s="26">
        <v>43213</v>
      </c>
      <c r="B122" s="135">
        <v>43213.817095486113</v>
      </c>
      <c r="C122" s="30" t="s">
        <v>28</v>
      </c>
      <c r="D122" s="30"/>
      <c r="E122" s="30">
        <v>2</v>
      </c>
      <c r="F122" s="30">
        <v>14</v>
      </c>
      <c r="G122" s="27">
        <v>0</v>
      </c>
      <c r="H122" s="165">
        <f t="shared" si="8"/>
        <v>1454</v>
      </c>
      <c r="J122" s="127">
        <f t="shared" si="9"/>
        <v>4</v>
      </c>
      <c r="K122" s="128">
        <f t="shared" si="10"/>
        <v>0</v>
      </c>
      <c r="L122" s="123" t="str">
        <f t="shared" si="0"/>
        <v>SI</v>
      </c>
      <c r="M122" s="140">
        <f t="shared" si="1"/>
        <v>0.81709548611252103</v>
      </c>
    </row>
    <row r="123" spans="1:13" s="123" customFormat="1" ht="24" customHeight="1">
      <c r="A123" s="26">
        <v>43213</v>
      </c>
      <c r="B123" s="135">
        <v>43213.814590046299</v>
      </c>
      <c r="C123" s="30" t="s">
        <v>24</v>
      </c>
      <c r="D123" s="30"/>
      <c r="E123" s="30">
        <v>4</v>
      </c>
      <c r="F123" s="30">
        <v>4</v>
      </c>
      <c r="G123" s="27">
        <v>0</v>
      </c>
      <c r="H123" s="31">
        <f t="shared" si="8"/>
        <v>1453</v>
      </c>
      <c r="J123" s="127">
        <f t="shared" si="9"/>
        <v>1</v>
      </c>
      <c r="K123" s="128">
        <f t="shared" si="10"/>
        <v>0</v>
      </c>
      <c r="L123" s="123" t="str">
        <f t="shared" si="0"/>
        <v>SI</v>
      </c>
      <c r="M123" s="140">
        <f t="shared" si="1"/>
        <v>0.81459004629869014</v>
      </c>
    </row>
    <row r="124" spans="1:13" s="123" customFormat="1" ht="24" customHeight="1">
      <c r="A124" s="26">
        <v>43213</v>
      </c>
      <c r="B124" s="135">
        <v>43213.753522569445</v>
      </c>
      <c r="C124" s="30" t="s">
        <v>27</v>
      </c>
      <c r="D124" s="30"/>
      <c r="E124" s="30">
        <v>2</v>
      </c>
      <c r="F124" s="30">
        <v>0</v>
      </c>
      <c r="G124" s="27">
        <v>0</v>
      </c>
      <c r="H124" s="31">
        <f t="shared" si="8"/>
        <v>1452</v>
      </c>
      <c r="J124" s="127">
        <f t="shared" si="9"/>
        <v>0</v>
      </c>
      <c r="K124" s="128">
        <f t="shared" si="10"/>
        <v>0</v>
      </c>
      <c r="L124" s="123" t="str">
        <f t="shared" si="0"/>
        <v>NO</v>
      </c>
      <c r="M124" s="140">
        <f t="shared" si="1"/>
        <v>0.7535225694446126</v>
      </c>
    </row>
    <row r="125" spans="1:13" s="123" customFormat="1" ht="24" customHeight="1">
      <c r="A125" s="26">
        <v>43213</v>
      </c>
      <c r="B125" s="135">
        <v>43213.745717939812</v>
      </c>
      <c r="C125" s="30" t="s">
        <v>11</v>
      </c>
      <c r="D125" s="30"/>
      <c r="E125" s="30">
        <v>0</v>
      </c>
      <c r="F125" s="30">
        <v>7</v>
      </c>
      <c r="G125" s="27">
        <v>0</v>
      </c>
      <c r="H125" s="31">
        <f t="shared" si="8"/>
        <v>1451</v>
      </c>
      <c r="J125" s="127">
        <f t="shared" si="9"/>
        <v>2</v>
      </c>
      <c r="K125" s="128">
        <f t="shared" si="10"/>
        <v>0</v>
      </c>
      <c r="L125" s="123" t="str">
        <f t="shared" si="0"/>
        <v>NO</v>
      </c>
      <c r="M125" s="140">
        <f t="shared" si="1"/>
        <v>0.74571793981158407</v>
      </c>
    </row>
    <row r="126" spans="1:13" s="123" customFormat="1" ht="24" customHeight="1">
      <c r="A126" s="26">
        <v>43213</v>
      </c>
      <c r="B126" s="135">
        <v>43213.743711111114</v>
      </c>
      <c r="C126" s="30" t="s">
        <v>20</v>
      </c>
      <c r="D126" s="30"/>
      <c r="E126" s="30">
        <v>7</v>
      </c>
      <c r="F126" s="30">
        <v>8</v>
      </c>
      <c r="G126" s="27">
        <v>4</v>
      </c>
      <c r="H126" s="31">
        <f t="shared" si="8"/>
        <v>1450</v>
      </c>
      <c r="J126" s="127">
        <f t="shared" si="9"/>
        <v>2</v>
      </c>
      <c r="K126" s="128">
        <f t="shared" si="10"/>
        <v>2</v>
      </c>
      <c r="L126" s="123" t="str">
        <f t="shared" si="0"/>
        <v>NO</v>
      </c>
      <c r="M126" s="140">
        <f t="shared" si="1"/>
        <v>0.74371111111395294</v>
      </c>
    </row>
    <row r="127" spans="1:13" s="123" customFormat="1" ht="24" customHeight="1">
      <c r="A127" s="26">
        <v>43213</v>
      </c>
      <c r="B127" s="135">
        <v>43213.668739930552</v>
      </c>
      <c r="C127" s="30" t="s">
        <v>36</v>
      </c>
      <c r="D127" s="30"/>
      <c r="E127" s="30">
        <v>3</v>
      </c>
      <c r="F127" s="30">
        <v>2</v>
      </c>
      <c r="G127" s="27">
        <v>0</v>
      </c>
      <c r="H127" s="165">
        <f t="shared" si="8"/>
        <v>1449</v>
      </c>
      <c r="J127" s="127">
        <f t="shared" si="9"/>
        <v>1</v>
      </c>
      <c r="K127" s="128">
        <f t="shared" si="10"/>
        <v>0</v>
      </c>
      <c r="L127" s="123" t="str">
        <f t="shared" si="0"/>
        <v>NO</v>
      </c>
      <c r="M127" s="140">
        <f t="shared" si="1"/>
        <v>0.66873993055196479</v>
      </c>
    </row>
    <row r="128" spans="1:13" s="123" customFormat="1" ht="24" customHeight="1">
      <c r="A128" s="26">
        <v>43213</v>
      </c>
      <c r="B128" s="135">
        <v>43213.606260763889</v>
      </c>
      <c r="C128" s="30" t="s">
        <v>78</v>
      </c>
      <c r="D128" s="30"/>
      <c r="E128" s="30">
        <v>4</v>
      </c>
      <c r="F128" s="30">
        <v>0</v>
      </c>
      <c r="G128" s="27">
        <v>0</v>
      </c>
      <c r="H128" s="31">
        <f t="shared" si="8"/>
        <v>1448</v>
      </c>
      <c r="J128" s="127">
        <f t="shared" si="9"/>
        <v>0</v>
      </c>
      <c r="K128" s="128">
        <f t="shared" si="10"/>
        <v>0</v>
      </c>
      <c r="L128" s="123" t="str">
        <f t="shared" si="0"/>
        <v>NO</v>
      </c>
      <c r="M128" s="140">
        <f t="shared" si="1"/>
        <v>0.60626076388871297</v>
      </c>
    </row>
    <row r="129" spans="1:13" s="123" customFormat="1" ht="24" customHeight="1">
      <c r="A129" s="26">
        <v>43213</v>
      </c>
      <c r="B129" s="135">
        <v>43213.60035601852</v>
      </c>
      <c r="C129" s="30" t="s">
        <v>122</v>
      </c>
      <c r="D129" s="30"/>
      <c r="E129" s="30">
        <v>2</v>
      </c>
      <c r="F129" s="30">
        <v>0</v>
      </c>
      <c r="G129" s="27">
        <v>0</v>
      </c>
      <c r="H129" s="31">
        <f t="shared" si="8"/>
        <v>1447</v>
      </c>
      <c r="J129" s="127">
        <f t="shared" si="9"/>
        <v>0</v>
      </c>
      <c r="K129" s="128">
        <f t="shared" si="10"/>
        <v>0</v>
      </c>
      <c r="L129" s="123" t="str">
        <f t="shared" si="0"/>
        <v>NO</v>
      </c>
      <c r="M129" s="140">
        <f t="shared" si="1"/>
        <v>0.60035601851996034</v>
      </c>
    </row>
    <row r="130" spans="1:13" s="123" customFormat="1" ht="24" customHeight="1">
      <c r="A130" s="26">
        <v>43213</v>
      </c>
      <c r="B130" s="135">
        <v>43213.59597800926</v>
      </c>
      <c r="C130" s="30" t="s">
        <v>14</v>
      </c>
      <c r="D130" s="30"/>
      <c r="E130" s="30">
        <v>6</v>
      </c>
      <c r="F130" s="30">
        <v>6</v>
      </c>
      <c r="G130" s="27">
        <v>2</v>
      </c>
      <c r="H130" s="31">
        <f t="shared" si="8"/>
        <v>1446</v>
      </c>
      <c r="J130" s="127">
        <f t="shared" si="9"/>
        <v>2</v>
      </c>
      <c r="K130" s="128">
        <f t="shared" si="10"/>
        <v>1</v>
      </c>
      <c r="L130" s="123" t="str">
        <f t="shared" si="0"/>
        <v>NO</v>
      </c>
      <c r="M130" s="140">
        <f t="shared" si="1"/>
        <v>0.59597800925985212</v>
      </c>
    </row>
    <row r="131" spans="1:13" s="123" customFormat="1" ht="24" customHeight="1">
      <c r="A131" s="26">
        <v>43213</v>
      </c>
      <c r="B131" s="135">
        <v>43213.581926851853</v>
      </c>
      <c r="C131" s="30" t="s">
        <v>18</v>
      </c>
      <c r="D131" s="30"/>
      <c r="E131" s="30">
        <v>0</v>
      </c>
      <c r="F131" s="30">
        <v>5</v>
      </c>
      <c r="G131" s="27">
        <v>0</v>
      </c>
      <c r="H131" s="31">
        <f t="shared" si="8"/>
        <v>1445</v>
      </c>
      <c r="J131" s="127">
        <f t="shared" si="9"/>
        <v>2</v>
      </c>
      <c r="K131" s="128">
        <f t="shared" si="10"/>
        <v>0</v>
      </c>
      <c r="L131" s="123" t="str">
        <f t="shared" si="0"/>
        <v>NO</v>
      </c>
      <c r="M131" s="140">
        <f t="shared" si="1"/>
        <v>0.58192685185349546</v>
      </c>
    </row>
    <row r="132" spans="1:13" s="123" customFormat="1" ht="24" customHeight="1">
      <c r="A132" s="26">
        <v>43213</v>
      </c>
      <c r="B132" s="135">
        <v>43213.576288425924</v>
      </c>
      <c r="C132" s="30" t="s">
        <v>26</v>
      </c>
      <c r="D132" s="30"/>
      <c r="E132" s="30">
        <v>1</v>
      </c>
      <c r="F132" s="30">
        <v>0</v>
      </c>
      <c r="G132" s="27">
        <v>0</v>
      </c>
      <c r="H132" s="31">
        <f t="shared" si="8"/>
        <v>1444</v>
      </c>
      <c r="J132" s="127">
        <f t="shared" si="9"/>
        <v>0</v>
      </c>
      <c r="K132" s="128">
        <f t="shared" si="10"/>
        <v>0</v>
      </c>
      <c r="L132" s="123" t="str">
        <f t="shared" si="0"/>
        <v>NO</v>
      </c>
      <c r="M132" s="140">
        <f t="shared" si="1"/>
        <v>0.57628842592384899</v>
      </c>
    </row>
    <row r="133" spans="1:13" s="123" customFormat="1" ht="24" customHeight="1">
      <c r="A133" s="26">
        <v>43213</v>
      </c>
      <c r="B133" s="135">
        <v>43213.575486689813</v>
      </c>
      <c r="C133" s="30" t="s">
        <v>33</v>
      </c>
      <c r="D133" s="30"/>
      <c r="E133" s="30">
        <v>5</v>
      </c>
      <c r="F133" s="30">
        <v>0</v>
      </c>
      <c r="G133" s="27">
        <v>0</v>
      </c>
      <c r="H133" s="165">
        <f t="shared" si="8"/>
        <v>1443</v>
      </c>
      <c r="J133" s="127">
        <f t="shared" si="9"/>
        <v>0</v>
      </c>
      <c r="K133" s="128">
        <f t="shared" si="10"/>
        <v>0</v>
      </c>
      <c r="L133" s="123" t="str">
        <f t="shared" si="0"/>
        <v>NO</v>
      </c>
      <c r="M133" s="140">
        <f t="shared" si="1"/>
        <v>0.57548668981326045</v>
      </c>
    </row>
    <row r="134" spans="1:13" s="123" customFormat="1" ht="24" customHeight="1">
      <c r="A134" s="26">
        <v>43213</v>
      </c>
      <c r="B134" s="135">
        <v>43213.557695254633</v>
      </c>
      <c r="C134" s="30" t="s">
        <v>25</v>
      </c>
      <c r="D134" s="30"/>
      <c r="E134" s="30">
        <v>0</v>
      </c>
      <c r="F134" s="30">
        <v>6</v>
      </c>
      <c r="G134" s="27">
        <v>0</v>
      </c>
      <c r="H134" s="31">
        <f t="shared" si="8"/>
        <v>1442</v>
      </c>
      <c r="J134" s="127">
        <f t="shared" si="9"/>
        <v>2</v>
      </c>
      <c r="K134" s="128">
        <f t="shared" si="10"/>
        <v>0</v>
      </c>
      <c r="L134" s="123" t="str">
        <f t="shared" si="0"/>
        <v>NO</v>
      </c>
      <c r="M134" s="140">
        <f t="shared" si="1"/>
        <v>0.55769525463256286</v>
      </c>
    </row>
    <row r="135" spans="1:13" s="123" customFormat="1" ht="24" customHeight="1">
      <c r="A135" s="26">
        <v>43213</v>
      </c>
      <c r="B135" s="135">
        <v>43213.55249884259</v>
      </c>
      <c r="C135" s="30" t="s">
        <v>79</v>
      </c>
      <c r="D135" s="30"/>
      <c r="E135" s="30">
        <v>14</v>
      </c>
      <c r="F135" s="30">
        <v>0</v>
      </c>
      <c r="G135" s="27">
        <v>6</v>
      </c>
      <c r="H135" s="165">
        <f t="shared" si="8"/>
        <v>1441</v>
      </c>
      <c r="J135" s="127">
        <f t="shared" si="9"/>
        <v>0</v>
      </c>
      <c r="K135" s="128">
        <f t="shared" si="10"/>
        <v>3</v>
      </c>
      <c r="L135" s="123" t="str">
        <f t="shared" si="0"/>
        <v>NO</v>
      </c>
      <c r="M135" s="140">
        <f t="shared" si="1"/>
        <v>0.55249884258955717</v>
      </c>
    </row>
    <row r="136" spans="1:13" s="123" customFormat="1" ht="24" customHeight="1">
      <c r="A136" s="26">
        <v>43213</v>
      </c>
      <c r="B136" s="135">
        <v>43213.520718055559</v>
      </c>
      <c r="C136" s="30" t="s">
        <v>27</v>
      </c>
      <c r="D136" s="30"/>
      <c r="E136" s="30">
        <v>11</v>
      </c>
      <c r="F136" s="30">
        <v>33</v>
      </c>
      <c r="G136" s="27">
        <v>4</v>
      </c>
      <c r="H136" s="31">
        <f t="shared" si="8"/>
        <v>1440</v>
      </c>
      <c r="J136" s="127">
        <f t="shared" si="9"/>
        <v>9</v>
      </c>
      <c r="K136" s="128">
        <f t="shared" si="10"/>
        <v>2</v>
      </c>
      <c r="L136" s="123" t="str">
        <f t="shared" si="0"/>
        <v>NO</v>
      </c>
      <c r="M136" s="140">
        <f t="shared" si="1"/>
        <v>0.52071805555897299</v>
      </c>
    </row>
    <row r="137" spans="1:13" s="123" customFormat="1" ht="24" customHeight="1">
      <c r="A137" s="26">
        <v>43213</v>
      </c>
      <c r="B137" s="135">
        <v>43213.373596527781</v>
      </c>
      <c r="C137" s="30" t="s">
        <v>13</v>
      </c>
      <c r="D137" s="30"/>
      <c r="E137" s="30">
        <v>7</v>
      </c>
      <c r="F137" s="30">
        <v>30</v>
      </c>
      <c r="G137" s="27">
        <v>0</v>
      </c>
      <c r="H137" s="165">
        <f t="shared" si="8"/>
        <v>1439</v>
      </c>
      <c r="J137" s="127">
        <f t="shared" si="9"/>
        <v>8</v>
      </c>
      <c r="K137" s="128">
        <f t="shared" si="10"/>
        <v>0</v>
      </c>
      <c r="L137" s="123" t="str">
        <f t="shared" si="0"/>
        <v>NO</v>
      </c>
      <c r="M137" s="140">
        <f t="shared" si="1"/>
        <v>0.37359652778104646</v>
      </c>
    </row>
    <row r="138" spans="1:13" s="123" customFormat="1" ht="24" customHeight="1">
      <c r="A138" s="26">
        <v>43213</v>
      </c>
      <c r="B138" s="135">
        <v>43213.354868055554</v>
      </c>
      <c r="C138" s="30" t="s">
        <v>13</v>
      </c>
      <c r="D138" s="30"/>
      <c r="E138" s="30">
        <v>13</v>
      </c>
      <c r="F138" s="30">
        <v>20</v>
      </c>
      <c r="G138" s="27">
        <v>4</v>
      </c>
      <c r="H138" s="165">
        <f t="shared" si="8"/>
        <v>1438</v>
      </c>
      <c r="J138" s="127">
        <f t="shared" si="9"/>
        <v>5</v>
      </c>
      <c r="K138" s="128">
        <f t="shared" si="10"/>
        <v>2</v>
      </c>
      <c r="L138" s="123" t="str">
        <f t="shared" si="0"/>
        <v>NO</v>
      </c>
      <c r="M138" s="140">
        <f t="shared" si="1"/>
        <v>0.35486805555410683</v>
      </c>
    </row>
    <row r="139" spans="1:13" s="123" customFormat="1" ht="24" customHeight="1">
      <c r="A139" s="26">
        <v>43213</v>
      </c>
      <c r="B139" s="135">
        <v>43213.309192939814</v>
      </c>
      <c r="C139" s="30" t="s">
        <v>13</v>
      </c>
      <c r="D139" s="30"/>
      <c r="E139" s="30">
        <v>0</v>
      </c>
      <c r="F139" s="30">
        <v>20</v>
      </c>
      <c r="G139" s="27">
        <v>0</v>
      </c>
      <c r="H139" s="165">
        <f t="shared" si="8"/>
        <v>1437</v>
      </c>
      <c r="J139" s="127">
        <f t="shared" si="9"/>
        <v>5</v>
      </c>
      <c r="K139" s="128">
        <f t="shared" si="10"/>
        <v>0</v>
      </c>
      <c r="L139" s="123" t="str">
        <f t="shared" si="0"/>
        <v>NO</v>
      </c>
      <c r="M139" s="140">
        <f t="shared" si="1"/>
        <v>0.30919293981423834</v>
      </c>
    </row>
    <row r="140" spans="1:13" s="123" customFormat="1" ht="24" customHeight="1">
      <c r="A140" s="26">
        <v>43212</v>
      </c>
      <c r="B140" s="135">
        <v>43212.795524884263</v>
      </c>
      <c r="C140" s="30" t="s">
        <v>36</v>
      </c>
      <c r="D140" s="30"/>
      <c r="E140" s="30">
        <v>4</v>
      </c>
      <c r="F140" s="30">
        <v>10</v>
      </c>
      <c r="G140" s="27">
        <v>0</v>
      </c>
      <c r="H140" s="165">
        <f t="shared" si="8"/>
        <v>1436</v>
      </c>
      <c r="J140" s="127">
        <f t="shared" si="9"/>
        <v>3</v>
      </c>
      <c r="K140" s="128">
        <f t="shared" si="10"/>
        <v>0</v>
      </c>
      <c r="L140" s="123" t="str">
        <f t="shared" si="0"/>
        <v>SI</v>
      </c>
      <c r="M140" s="140">
        <f t="shared" si="1"/>
        <v>0.79552488426270429</v>
      </c>
    </row>
    <row r="141" spans="1:13" s="123" customFormat="1" ht="24" customHeight="1">
      <c r="A141" s="26">
        <v>43212</v>
      </c>
      <c r="B141" s="135">
        <v>43212.544642592591</v>
      </c>
      <c r="C141" s="30" t="s">
        <v>36</v>
      </c>
      <c r="D141" s="30"/>
      <c r="E141" s="30">
        <v>1</v>
      </c>
      <c r="F141" s="30">
        <v>0</v>
      </c>
      <c r="G141" s="27">
        <v>0</v>
      </c>
      <c r="H141" s="165">
        <f t="shared" si="8"/>
        <v>1435</v>
      </c>
      <c r="J141" s="127">
        <f t="shared" si="9"/>
        <v>0</v>
      </c>
      <c r="K141" s="128">
        <f t="shared" si="10"/>
        <v>0</v>
      </c>
      <c r="L141" s="123" t="str">
        <f t="shared" si="0"/>
        <v>NO</v>
      </c>
      <c r="M141" s="140">
        <f t="shared" si="1"/>
        <v>0.54464259259111714</v>
      </c>
    </row>
    <row r="142" spans="1:13" s="123" customFormat="1" ht="24" customHeight="1">
      <c r="A142" s="26">
        <v>43212</v>
      </c>
      <c r="B142" s="135">
        <v>43212.505814236109</v>
      </c>
      <c r="C142" s="30" t="s">
        <v>77</v>
      </c>
      <c r="D142" s="30"/>
      <c r="E142" s="30">
        <v>0</v>
      </c>
      <c r="F142" s="30">
        <v>8</v>
      </c>
      <c r="G142" s="27">
        <v>0</v>
      </c>
      <c r="H142" s="31">
        <f t="shared" si="8"/>
        <v>1434</v>
      </c>
      <c r="J142" s="127">
        <f t="shared" si="9"/>
        <v>2</v>
      </c>
      <c r="K142" s="128">
        <f t="shared" si="10"/>
        <v>0</v>
      </c>
      <c r="L142" s="123" t="str">
        <f t="shared" si="0"/>
        <v>NO</v>
      </c>
      <c r="M142" s="140">
        <f t="shared" si="1"/>
        <v>0.50581423610856291</v>
      </c>
    </row>
    <row r="143" spans="1:13" s="123" customFormat="1" ht="24" customHeight="1">
      <c r="A143" s="26">
        <v>43211</v>
      </c>
      <c r="B143" s="135">
        <v>43211.758239930554</v>
      </c>
      <c r="C143" s="30" t="s">
        <v>20</v>
      </c>
      <c r="D143" s="30"/>
      <c r="E143" s="30">
        <v>4</v>
      </c>
      <c r="F143" s="30">
        <v>26</v>
      </c>
      <c r="G143" s="27">
        <v>2</v>
      </c>
      <c r="H143" s="31">
        <f t="shared" si="8"/>
        <v>1433</v>
      </c>
      <c r="J143" s="127">
        <f t="shared" si="9"/>
        <v>7</v>
      </c>
      <c r="K143" s="128">
        <f t="shared" si="10"/>
        <v>1</v>
      </c>
      <c r="L143" s="123" t="str">
        <f t="shared" si="0"/>
        <v>NO</v>
      </c>
      <c r="M143" s="140">
        <f t="shared" si="1"/>
        <v>0.75823993055382743</v>
      </c>
    </row>
    <row r="144" spans="1:13" s="123" customFormat="1" ht="24" customHeight="1">
      <c r="A144" s="26">
        <v>43211</v>
      </c>
      <c r="B144" s="135">
        <v>43211.741991898147</v>
      </c>
      <c r="C144" s="30" t="s">
        <v>24</v>
      </c>
      <c r="D144" s="30"/>
      <c r="E144" s="30">
        <v>0</v>
      </c>
      <c r="F144" s="30">
        <v>13</v>
      </c>
      <c r="G144" s="27">
        <v>0</v>
      </c>
      <c r="H144" s="31">
        <f t="shared" si="8"/>
        <v>1432</v>
      </c>
      <c r="J144" s="127">
        <f t="shared" si="9"/>
        <v>4</v>
      </c>
      <c r="K144" s="128">
        <f t="shared" si="10"/>
        <v>0</v>
      </c>
      <c r="L144" s="123" t="str">
        <f t="shared" si="0"/>
        <v>NO</v>
      </c>
      <c r="M144" s="140">
        <f t="shared" si="1"/>
        <v>0.74199189814680722</v>
      </c>
    </row>
    <row r="145" spans="1:13" s="123" customFormat="1" ht="24" customHeight="1">
      <c r="A145" s="26">
        <v>43211</v>
      </c>
      <c r="B145" s="135">
        <v>43211.691660532408</v>
      </c>
      <c r="C145" s="30" t="s">
        <v>109</v>
      </c>
      <c r="D145" s="30"/>
      <c r="E145" s="30">
        <v>0</v>
      </c>
      <c r="F145" s="30">
        <v>1</v>
      </c>
      <c r="G145" s="27">
        <v>0</v>
      </c>
      <c r="H145" s="165">
        <f t="shared" si="8"/>
        <v>1431</v>
      </c>
      <c r="J145" s="127">
        <f t="shared" si="9"/>
        <v>1</v>
      </c>
      <c r="K145" s="128">
        <f t="shared" si="10"/>
        <v>0</v>
      </c>
      <c r="L145" s="123" t="str">
        <f t="shared" si="0"/>
        <v>NO</v>
      </c>
      <c r="M145" s="140">
        <f t="shared" si="1"/>
        <v>0.69166053240769543</v>
      </c>
    </row>
    <row r="146" spans="1:13" s="123" customFormat="1" ht="24" customHeight="1">
      <c r="A146" s="26">
        <v>43211</v>
      </c>
      <c r="B146" s="135">
        <v>43211.630525578701</v>
      </c>
      <c r="C146" s="30" t="s">
        <v>89</v>
      </c>
      <c r="D146" s="30"/>
      <c r="E146" s="30">
        <v>6</v>
      </c>
      <c r="F146" s="30">
        <v>8</v>
      </c>
      <c r="G146" s="27">
        <v>0</v>
      </c>
      <c r="H146" s="31">
        <f t="shared" si="8"/>
        <v>1430</v>
      </c>
      <c r="J146" s="127">
        <f t="shared" si="9"/>
        <v>2</v>
      </c>
      <c r="K146" s="128">
        <f t="shared" si="10"/>
        <v>0</v>
      </c>
      <c r="L146" s="123" t="str">
        <f t="shared" si="0"/>
        <v>NO</v>
      </c>
      <c r="M146" s="140">
        <f t="shared" si="1"/>
        <v>0.63052557870105375</v>
      </c>
    </row>
    <row r="147" spans="1:13" s="123" customFormat="1" ht="24" customHeight="1">
      <c r="A147" s="26">
        <v>43211</v>
      </c>
      <c r="B147" s="135">
        <v>43211.604585069443</v>
      </c>
      <c r="C147" s="30" t="s">
        <v>86</v>
      </c>
      <c r="D147" s="30"/>
      <c r="E147" s="30">
        <v>5</v>
      </c>
      <c r="F147" s="30">
        <v>0</v>
      </c>
      <c r="G147" s="27">
        <v>0</v>
      </c>
      <c r="H147" s="31">
        <f t="shared" si="8"/>
        <v>1429</v>
      </c>
      <c r="J147" s="127">
        <f t="shared" si="9"/>
        <v>0</v>
      </c>
      <c r="K147" s="128">
        <f t="shared" si="10"/>
        <v>0</v>
      </c>
      <c r="L147" s="123" t="str">
        <f t="shared" si="0"/>
        <v>NO</v>
      </c>
      <c r="M147" s="140">
        <f t="shared" si="1"/>
        <v>0.60458506944269175</v>
      </c>
    </row>
    <row r="148" spans="1:13" s="123" customFormat="1" ht="24" customHeight="1">
      <c r="A148" s="26">
        <v>43211</v>
      </c>
      <c r="B148" s="135">
        <v>43211.553965046296</v>
      </c>
      <c r="C148" s="30" t="s">
        <v>36</v>
      </c>
      <c r="D148" s="30"/>
      <c r="E148" s="30">
        <v>3</v>
      </c>
      <c r="F148" s="30">
        <v>12</v>
      </c>
      <c r="G148" s="27">
        <v>0</v>
      </c>
      <c r="H148" s="165">
        <f t="shared" si="8"/>
        <v>1428</v>
      </c>
      <c r="J148" s="127">
        <f t="shared" si="9"/>
        <v>3</v>
      </c>
      <c r="K148" s="128">
        <f t="shared" si="10"/>
        <v>0</v>
      </c>
      <c r="L148" s="123" t="str">
        <f t="shared" si="0"/>
        <v>NO</v>
      </c>
      <c r="M148" s="140">
        <f t="shared" si="1"/>
        <v>0.5539650462960708</v>
      </c>
    </row>
    <row r="149" spans="1:13" s="123" customFormat="1" ht="24" customHeight="1">
      <c r="A149" s="26">
        <v>43211</v>
      </c>
      <c r="B149" s="135">
        <v>43211.538489930557</v>
      </c>
      <c r="C149" s="30" t="s">
        <v>27</v>
      </c>
      <c r="D149" s="30"/>
      <c r="E149" s="30">
        <v>14</v>
      </c>
      <c r="F149" s="30">
        <v>19</v>
      </c>
      <c r="G149" s="27">
        <v>0</v>
      </c>
      <c r="H149" s="31">
        <f t="shared" si="8"/>
        <v>1427</v>
      </c>
      <c r="J149" s="127">
        <f t="shared" si="9"/>
        <v>5</v>
      </c>
      <c r="K149" s="128">
        <f t="shared" si="10"/>
        <v>0</v>
      </c>
      <c r="L149" s="123" t="str">
        <f t="shared" si="0"/>
        <v>NO</v>
      </c>
      <c r="M149" s="140">
        <f t="shared" si="1"/>
        <v>0.53848993055726169</v>
      </c>
    </row>
    <row r="150" spans="1:13" s="123" customFormat="1" ht="24" customHeight="1">
      <c r="A150" s="26">
        <v>43211</v>
      </c>
      <c r="B150" s="135">
        <v>43211.49657372685</v>
      </c>
      <c r="C150" s="30" t="s">
        <v>11</v>
      </c>
      <c r="D150" s="30"/>
      <c r="E150" s="30">
        <v>0</v>
      </c>
      <c r="F150" s="30">
        <v>11</v>
      </c>
      <c r="G150" s="27">
        <v>4</v>
      </c>
      <c r="H150" s="31">
        <f t="shared" si="8"/>
        <v>1426</v>
      </c>
      <c r="J150" s="127">
        <f t="shared" si="9"/>
        <v>3</v>
      </c>
      <c r="K150" s="128">
        <f t="shared" si="10"/>
        <v>2</v>
      </c>
      <c r="L150" s="123" t="str">
        <f t="shared" si="0"/>
        <v>NO</v>
      </c>
      <c r="M150" s="140">
        <f t="shared" si="1"/>
        <v>0.49657372685032897</v>
      </c>
    </row>
    <row r="151" spans="1:13" s="123" customFormat="1" ht="24" customHeight="1">
      <c r="A151" s="26">
        <v>43211</v>
      </c>
      <c r="B151" s="135">
        <v>43211.49180891204</v>
      </c>
      <c r="C151" s="30" t="s">
        <v>18</v>
      </c>
      <c r="D151" s="30"/>
      <c r="E151" s="30">
        <v>1</v>
      </c>
      <c r="F151" s="30">
        <v>3</v>
      </c>
      <c r="G151" s="27">
        <v>0</v>
      </c>
      <c r="H151" s="31">
        <f t="shared" si="8"/>
        <v>1425</v>
      </c>
      <c r="J151" s="127">
        <f t="shared" si="9"/>
        <v>1</v>
      </c>
      <c r="K151" s="128">
        <f t="shared" si="10"/>
        <v>0</v>
      </c>
      <c r="L151" s="123" t="str">
        <f t="shared" si="0"/>
        <v>NO</v>
      </c>
      <c r="M151" s="140">
        <f t="shared" si="1"/>
        <v>0.49180891204014188</v>
      </c>
    </row>
    <row r="152" spans="1:13" s="123" customFormat="1" ht="24" customHeight="1">
      <c r="A152" s="26">
        <v>43211</v>
      </c>
      <c r="B152" s="135">
        <v>43211.487266782409</v>
      </c>
      <c r="C152" s="30" t="s">
        <v>19</v>
      </c>
      <c r="D152" s="30"/>
      <c r="E152" s="30">
        <v>0</v>
      </c>
      <c r="F152" s="30">
        <v>5</v>
      </c>
      <c r="G152" s="27">
        <v>2</v>
      </c>
      <c r="H152" s="31">
        <f t="shared" si="8"/>
        <v>1424</v>
      </c>
      <c r="J152" s="127">
        <f t="shared" si="9"/>
        <v>2</v>
      </c>
      <c r="K152" s="128">
        <f t="shared" si="10"/>
        <v>1</v>
      </c>
      <c r="L152" s="123" t="str">
        <f t="shared" si="0"/>
        <v>NO</v>
      </c>
      <c r="M152" s="140">
        <f t="shared" si="1"/>
        <v>0.48726678240927868</v>
      </c>
    </row>
    <row r="153" spans="1:13" s="123" customFormat="1" ht="24" customHeight="1">
      <c r="A153" s="26">
        <v>43211</v>
      </c>
      <c r="B153" s="135">
        <v>43211.477803240741</v>
      </c>
      <c r="C153" s="30" t="s">
        <v>33</v>
      </c>
      <c r="D153" s="30"/>
      <c r="E153" s="30">
        <v>4</v>
      </c>
      <c r="F153" s="30">
        <v>0</v>
      </c>
      <c r="G153" s="27">
        <v>0</v>
      </c>
      <c r="H153" s="31">
        <f t="shared" si="8"/>
        <v>1423</v>
      </c>
      <c r="J153" s="127">
        <f t="shared" si="9"/>
        <v>0</v>
      </c>
      <c r="K153" s="128">
        <f t="shared" si="10"/>
        <v>0</v>
      </c>
      <c r="L153" s="123" t="str">
        <f t="shared" si="0"/>
        <v>NO</v>
      </c>
      <c r="M153" s="140">
        <f t="shared" si="1"/>
        <v>0.47780324074119562</v>
      </c>
    </row>
    <row r="154" spans="1:13" s="123" customFormat="1" ht="24" customHeight="1">
      <c r="A154" s="26">
        <v>43211</v>
      </c>
      <c r="B154" s="135">
        <v>43211.396368981485</v>
      </c>
      <c r="C154" s="30" t="s">
        <v>13</v>
      </c>
      <c r="D154" s="30"/>
      <c r="E154" s="30">
        <v>7</v>
      </c>
      <c r="F154" s="30">
        <v>0</v>
      </c>
      <c r="G154" s="27">
        <v>0</v>
      </c>
      <c r="H154" s="165">
        <f t="shared" si="8"/>
        <v>1422</v>
      </c>
      <c r="J154" s="127">
        <f t="shared" si="9"/>
        <v>0</v>
      </c>
      <c r="K154" s="128">
        <f t="shared" si="10"/>
        <v>0</v>
      </c>
      <c r="L154" s="123" t="str">
        <f t="shared" si="0"/>
        <v>NO</v>
      </c>
      <c r="M154" s="140">
        <f t="shared" si="1"/>
        <v>0.39636898148455657</v>
      </c>
    </row>
    <row r="155" spans="1:13" s="123" customFormat="1" ht="24" customHeight="1">
      <c r="A155" s="26">
        <v>43211</v>
      </c>
      <c r="B155" s="135">
        <v>43211.383968981485</v>
      </c>
      <c r="C155" s="30" t="s">
        <v>13</v>
      </c>
      <c r="D155" s="30"/>
      <c r="E155" s="30">
        <v>19</v>
      </c>
      <c r="F155" s="30">
        <v>44</v>
      </c>
      <c r="G155" s="27">
        <v>4</v>
      </c>
      <c r="H155" s="165">
        <f t="shared" si="8"/>
        <v>1421</v>
      </c>
      <c r="J155" s="127">
        <f t="shared" si="9"/>
        <v>11</v>
      </c>
      <c r="K155" s="128">
        <f t="shared" si="10"/>
        <v>2</v>
      </c>
      <c r="L155" s="123" t="str">
        <f t="shared" si="0"/>
        <v>NO</v>
      </c>
      <c r="M155" s="140">
        <f t="shared" si="1"/>
        <v>0.38396898148494074</v>
      </c>
    </row>
    <row r="156" spans="1:13" s="123" customFormat="1" ht="24" customHeight="1">
      <c r="A156" s="26">
        <v>43211</v>
      </c>
      <c r="B156" s="135">
        <v>43211.361503472224</v>
      </c>
      <c r="C156" s="30" t="s">
        <v>34</v>
      </c>
      <c r="D156" s="30"/>
      <c r="E156" s="30">
        <v>3</v>
      </c>
      <c r="F156" s="30">
        <v>32</v>
      </c>
      <c r="G156" s="27">
        <v>0</v>
      </c>
      <c r="H156" s="165">
        <f t="shared" si="8"/>
        <v>1420</v>
      </c>
      <c r="J156" s="127">
        <f t="shared" si="9"/>
        <v>8</v>
      </c>
      <c r="K156" s="128">
        <f t="shared" si="10"/>
        <v>0</v>
      </c>
      <c r="L156" s="123" t="str">
        <f t="shared" si="0"/>
        <v>NO</v>
      </c>
      <c r="M156" s="140">
        <f t="shared" si="1"/>
        <v>0.36150347222428536</v>
      </c>
    </row>
    <row r="157" spans="1:13" s="123" customFormat="1" ht="24" customHeight="1">
      <c r="A157" s="26">
        <v>43211</v>
      </c>
      <c r="B157" s="135">
        <v>43211.312889120367</v>
      </c>
      <c r="C157" s="30" t="s">
        <v>13</v>
      </c>
      <c r="D157" s="30"/>
      <c r="E157" s="30">
        <v>0</v>
      </c>
      <c r="F157" s="30">
        <v>10</v>
      </c>
      <c r="G157" s="27">
        <v>0</v>
      </c>
      <c r="H157" s="165">
        <f t="shared" si="8"/>
        <v>1419</v>
      </c>
      <c r="J157" s="127">
        <f t="shared" si="9"/>
        <v>3</v>
      </c>
      <c r="K157" s="128">
        <f t="shared" si="10"/>
        <v>0</v>
      </c>
      <c r="L157" s="123" t="str">
        <f t="shared" si="0"/>
        <v>NO</v>
      </c>
      <c r="M157" s="140">
        <f t="shared" si="1"/>
        <v>0.31288912036688998</v>
      </c>
    </row>
    <row r="158" spans="1:13" s="123" customFormat="1" ht="24" customHeight="1">
      <c r="A158" s="26">
        <v>43211</v>
      </c>
      <c r="B158" s="135">
        <v>43211.035579398151</v>
      </c>
      <c r="C158" s="30" t="s">
        <v>83</v>
      </c>
      <c r="D158" s="30"/>
      <c r="E158" s="30">
        <v>2</v>
      </c>
      <c r="F158" s="30">
        <v>0</v>
      </c>
      <c r="G158" s="27">
        <v>0</v>
      </c>
      <c r="H158" s="31">
        <f t="shared" si="8"/>
        <v>1418</v>
      </c>
      <c r="J158" s="127">
        <f t="shared" si="9"/>
        <v>0</v>
      </c>
      <c r="K158" s="128">
        <f t="shared" si="10"/>
        <v>0</v>
      </c>
      <c r="L158" s="123" t="str">
        <f t="shared" si="0"/>
        <v>NO</v>
      </c>
      <c r="M158" s="140">
        <f t="shared" si="1"/>
        <v>3.5579398150730412E-2</v>
      </c>
    </row>
    <row r="159" spans="1:13" s="123" customFormat="1" ht="24" customHeight="1">
      <c r="A159" s="26">
        <v>43210</v>
      </c>
      <c r="B159" s="135">
        <v>43210.873285995367</v>
      </c>
      <c r="C159" s="30" t="s">
        <v>14</v>
      </c>
      <c r="D159" s="30"/>
      <c r="E159" s="30">
        <v>12</v>
      </c>
      <c r="F159" s="30">
        <v>10</v>
      </c>
      <c r="G159" s="27">
        <v>4</v>
      </c>
      <c r="H159" s="31">
        <f t="shared" si="8"/>
        <v>1417</v>
      </c>
      <c r="J159" s="127">
        <f t="shared" si="9"/>
        <v>3</v>
      </c>
      <c r="K159" s="128">
        <f t="shared" si="10"/>
        <v>2</v>
      </c>
      <c r="L159" s="123" t="str">
        <f t="shared" si="0"/>
        <v>SI</v>
      </c>
      <c r="M159" s="140">
        <f t="shared" si="1"/>
        <v>0.87328599536704132</v>
      </c>
    </row>
    <row r="160" spans="1:13" s="123" customFormat="1" ht="24" customHeight="1">
      <c r="A160" s="26">
        <v>43210</v>
      </c>
      <c r="B160" s="135">
        <v>43210.86572037037</v>
      </c>
      <c r="C160" s="30" t="s">
        <v>36</v>
      </c>
      <c r="D160" s="30"/>
      <c r="E160" s="30">
        <v>1</v>
      </c>
      <c r="F160" s="30">
        <v>12</v>
      </c>
      <c r="G160" s="27">
        <v>0</v>
      </c>
      <c r="H160" s="165">
        <f t="shared" si="8"/>
        <v>1416</v>
      </c>
      <c r="J160" s="127">
        <f t="shared" si="9"/>
        <v>3</v>
      </c>
      <c r="K160" s="128">
        <f t="shared" si="10"/>
        <v>0</v>
      </c>
      <c r="L160" s="123" t="str">
        <f t="shared" si="0"/>
        <v>SI</v>
      </c>
      <c r="M160" s="140">
        <f t="shared" si="1"/>
        <v>0.86572037036967231</v>
      </c>
    </row>
    <row r="161" spans="1:13" s="123" customFormat="1" ht="24" customHeight="1">
      <c r="A161" s="26">
        <v>43210</v>
      </c>
      <c r="B161" s="135">
        <v>43210.811646064816</v>
      </c>
      <c r="C161" s="30" t="s">
        <v>25</v>
      </c>
      <c r="D161" s="30"/>
      <c r="E161" s="30">
        <v>2</v>
      </c>
      <c r="F161" s="30">
        <v>0</v>
      </c>
      <c r="G161" s="27">
        <v>0</v>
      </c>
      <c r="H161" s="31">
        <f t="shared" si="8"/>
        <v>1415</v>
      </c>
      <c r="J161" s="127">
        <f t="shared" si="9"/>
        <v>0</v>
      </c>
      <c r="K161" s="128">
        <f t="shared" si="10"/>
        <v>0</v>
      </c>
      <c r="L161" s="123" t="str">
        <f t="shared" si="0"/>
        <v>SI</v>
      </c>
      <c r="M161" s="140">
        <f t="shared" si="1"/>
        <v>0.8116460648161592</v>
      </c>
    </row>
    <row r="162" spans="1:13" s="123" customFormat="1" ht="24" customHeight="1">
      <c r="A162" s="26">
        <v>43210</v>
      </c>
      <c r="B162" s="135">
        <v>43210.808667476849</v>
      </c>
      <c r="C162" s="30" t="s">
        <v>28</v>
      </c>
      <c r="D162" s="30"/>
      <c r="E162" s="30">
        <v>6</v>
      </c>
      <c r="F162" s="30">
        <v>15</v>
      </c>
      <c r="G162" s="27">
        <v>0</v>
      </c>
      <c r="H162" s="165">
        <f t="shared" si="8"/>
        <v>1414</v>
      </c>
      <c r="J162" s="127">
        <f t="shared" si="9"/>
        <v>4</v>
      </c>
      <c r="K162" s="128">
        <f t="shared" si="10"/>
        <v>0</v>
      </c>
      <c r="L162" s="123" t="str">
        <f t="shared" si="0"/>
        <v>SI</v>
      </c>
      <c r="M162" s="140">
        <f t="shared" si="1"/>
        <v>0.80866747684922302</v>
      </c>
    </row>
    <row r="163" spans="1:13" s="123" customFormat="1" ht="24" customHeight="1">
      <c r="A163" s="26">
        <v>43210</v>
      </c>
      <c r="B163" s="135">
        <v>43210.764429745373</v>
      </c>
      <c r="C163" s="30" t="s">
        <v>20</v>
      </c>
      <c r="D163" s="30"/>
      <c r="E163" s="30">
        <v>6</v>
      </c>
      <c r="F163" s="30">
        <v>10</v>
      </c>
      <c r="G163" s="27">
        <v>4</v>
      </c>
      <c r="H163" s="31">
        <f t="shared" si="8"/>
        <v>1413</v>
      </c>
      <c r="J163" s="127">
        <f t="shared" si="9"/>
        <v>3</v>
      </c>
      <c r="K163" s="128">
        <f t="shared" si="10"/>
        <v>2</v>
      </c>
      <c r="L163" s="123" t="str">
        <f t="shared" si="0"/>
        <v>NO</v>
      </c>
      <c r="M163" s="140">
        <f t="shared" si="1"/>
        <v>0.76442974537349073</v>
      </c>
    </row>
    <row r="164" spans="1:13" s="123" customFormat="1" ht="24" customHeight="1">
      <c r="A164" s="26">
        <v>43210</v>
      </c>
      <c r="B164" s="135">
        <v>43210.741452083334</v>
      </c>
      <c r="C164" s="30" t="s">
        <v>15</v>
      </c>
      <c r="D164" s="30"/>
      <c r="E164" s="30">
        <v>0</v>
      </c>
      <c r="F164" s="30">
        <v>6</v>
      </c>
      <c r="G164" s="27">
        <v>0</v>
      </c>
      <c r="H164" s="31">
        <f t="shared" si="8"/>
        <v>1412</v>
      </c>
      <c r="J164" s="127">
        <f t="shared" si="9"/>
        <v>2</v>
      </c>
      <c r="K164" s="128">
        <f t="shared" si="10"/>
        <v>0</v>
      </c>
      <c r="L164" s="123" t="str">
        <f t="shared" si="0"/>
        <v>NO</v>
      </c>
      <c r="M164" s="140">
        <f t="shared" si="1"/>
        <v>0.74145208333357004</v>
      </c>
    </row>
    <row r="165" spans="1:13" s="123" customFormat="1" ht="24" customHeight="1">
      <c r="A165" s="26">
        <v>43210</v>
      </c>
      <c r="B165" s="135">
        <v>43210.741369560186</v>
      </c>
      <c r="C165" s="30" t="s">
        <v>16</v>
      </c>
      <c r="D165" s="30"/>
      <c r="E165" s="30">
        <v>0</v>
      </c>
      <c r="F165" s="30">
        <v>1</v>
      </c>
      <c r="G165" s="27">
        <v>0</v>
      </c>
      <c r="H165" s="31">
        <f t="shared" si="8"/>
        <v>1411</v>
      </c>
      <c r="J165" s="127">
        <f t="shared" si="9"/>
        <v>1</v>
      </c>
      <c r="K165" s="128">
        <f t="shared" si="10"/>
        <v>0</v>
      </c>
      <c r="L165" s="123" t="str">
        <f t="shared" si="0"/>
        <v>NO</v>
      </c>
      <c r="M165" s="140">
        <f t="shared" si="1"/>
        <v>0.74136956018628553</v>
      </c>
    </row>
    <row r="166" spans="1:13" s="123" customFormat="1" ht="24" customHeight="1">
      <c r="A166" s="26">
        <v>43210</v>
      </c>
      <c r="B166" s="135">
        <v>43210.727175462962</v>
      </c>
      <c r="C166" s="30" t="s">
        <v>36</v>
      </c>
      <c r="D166" s="30"/>
      <c r="E166" s="30">
        <v>0</v>
      </c>
      <c r="F166" s="30">
        <v>5</v>
      </c>
      <c r="G166" s="27">
        <v>0</v>
      </c>
      <c r="H166" s="165">
        <f t="shared" si="8"/>
        <v>1410</v>
      </c>
      <c r="J166" s="127">
        <f t="shared" si="9"/>
        <v>2</v>
      </c>
      <c r="K166" s="128">
        <f t="shared" si="10"/>
        <v>0</v>
      </c>
      <c r="L166" s="123" t="str">
        <f t="shared" si="0"/>
        <v>NO</v>
      </c>
      <c r="M166" s="140">
        <f t="shared" si="1"/>
        <v>0.72717546296189539</v>
      </c>
    </row>
    <row r="167" spans="1:13" s="123" customFormat="1" ht="24" customHeight="1">
      <c r="A167" s="26">
        <v>43210</v>
      </c>
      <c r="B167" s="135">
        <v>43210.612537962967</v>
      </c>
      <c r="C167" s="30" t="s">
        <v>79</v>
      </c>
      <c r="D167" s="30"/>
      <c r="E167" s="30">
        <v>0</v>
      </c>
      <c r="F167" s="30">
        <v>0</v>
      </c>
      <c r="G167" s="27">
        <v>4</v>
      </c>
      <c r="H167" s="165">
        <f t="shared" ref="H167:H207" si="11">+H168+1</f>
        <v>1409</v>
      </c>
      <c r="J167" s="127">
        <f t="shared" ref="J167:J207" si="12">+ROUNDUP(F167/4,0)</f>
        <v>0</v>
      </c>
      <c r="K167" s="128">
        <f t="shared" ref="K167:K207" si="13">+ROUNDUP(G167/2,0)</f>
        <v>2</v>
      </c>
      <c r="L167" s="123" t="str">
        <f t="shared" si="0"/>
        <v>NO</v>
      </c>
      <c r="M167" s="140">
        <f t="shared" si="1"/>
        <v>0.61253796296659857</v>
      </c>
    </row>
    <row r="168" spans="1:13" s="123" customFormat="1" ht="24" customHeight="1">
      <c r="A168" s="26">
        <v>43210</v>
      </c>
      <c r="B168" s="135">
        <v>43210.604961689816</v>
      </c>
      <c r="C168" s="30" t="s">
        <v>33</v>
      </c>
      <c r="D168" s="30"/>
      <c r="E168" s="30">
        <v>8</v>
      </c>
      <c r="F168" s="30">
        <v>14</v>
      </c>
      <c r="G168" s="27">
        <v>0</v>
      </c>
      <c r="H168" s="165">
        <f t="shared" si="11"/>
        <v>1408</v>
      </c>
      <c r="J168" s="127">
        <f t="shared" si="12"/>
        <v>4</v>
      </c>
      <c r="K168" s="128">
        <f t="shared" si="13"/>
        <v>0</v>
      </c>
      <c r="L168" s="123" t="str">
        <f t="shared" si="0"/>
        <v>NO</v>
      </c>
      <c r="M168" s="140">
        <f t="shared" si="1"/>
        <v>0.60496168981626397</v>
      </c>
    </row>
    <row r="169" spans="1:13" s="123" customFormat="1" ht="24" customHeight="1">
      <c r="A169" s="26">
        <v>43210</v>
      </c>
      <c r="B169" s="135">
        <v>43210.591038194441</v>
      </c>
      <c r="C169" s="30"/>
      <c r="D169" s="30" t="s">
        <v>175</v>
      </c>
      <c r="E169" s="30">
        <v>0</v>
      </c>
      <c r="F169" s="30">
        <v>6</v>
      </c>
      <c r="G169" s="27">
        <v>0</v>
      </c>
      <c r="H169" s="31">
        <f t="shared" si="11"/>
        <v>1407</v>
      </c>
      <c r="J169" s="127">
        <f t="shared" si="12"/>
        <v>2</v>
      </c>
      <c r="K169" s="128">
        <f t="shared" si="13"/>
        <v>0</v>
      </c>
      <c r="L169" s="123" t="str">
        <f t="shared" si="0"/>
        <v>NO</v>
      </c>
      <c r="M169" s="140">
        <f t="shared" si="1"/>
        <v>0.59103819444135297</v>
      </c>
    </row>
    <row r="170" spans="1:13" s="123" customFormat="1" ht="24" customHeight="1">
      <c r="A170" s="26">
        <v>43210</v>
      </c>
      <c r="B170" s="135">
        <v>43210.578820138886</v>
      </c>
      <c r="C170" s="30" t="s">
        <v>36</v>
      </c>
      <c r="D170" s="30"/>
      <c r="E170" s="30">
        <v>2</v>
      </c>
      <c r="F170" s="30">
        <v>9</v>
      </c>
      <c r="G170" s="27">
        <v>0</v>
      </c>
      <c r="H170" s="165">
        <f t="shared" si="11"/>
        <v>1406</v>
      </c>
      <c r="J170" s="127">
        <f t="shared" si="12"/>
        <v>3</v>
      </c>
      <c r="K170" s="128">
        <f t="shared" si="13"/>
        <v>0</v>
      </c>
      <c r="L170" s="123" t="str">
        <f t="shared" si="0"/>
        <v>NO</v>
      </c>
      <c r="M170" s="140">
        <f t="shared" si="1"/>
        <v>0.57882013888593065</v>
      </c>
    </row>
    <row r="171" spans="1:13" s="123" customFormat="1" ht="24" customHeight="1">
      <c r="A171" s="26">
        <v>43210</v>
      </c>
      <c r="B171" s="135">
        <v>43210.56281585648</v>
      </c>
      <c r="C171" s="30" t="s">
        <v>24</v>
      </c>
      <c r="D171" s="30"/>
      <c r="E171" s="30">
        <v>1</v>
      </c>
      <c r="F171" s="30">
        <v>10</v>
      </c>
      <c r="G171" s="27">
        <v>0</v>
      </c>
      <c r="H171" s="31">
        <f t="shared" si="11"/>
        <v>1405</v>
      </c>
      <c r="J171" s="127">
        <f t="shared" si="12"/>
        <v>3</v>
      </c>
      <c r="K171" s="128">
        <f t="shared" si="13"/>
        <v>0</v>
      </c>
      <c r="L171" s="123" t="str">
        <f t="shared" si="0"/>
        <v>NO</v>
      </c>
      <c r="M171" s="140">
        <f t="shared" si="1"/>
        <v>0.56281585647957399</v>
      </c>
    </row>
    <row r="172" spans="1:13" s="123" customFormat="1" ht="24" customHeight="1">
      <c r="A172" s="26">
        <v>43210</v>
      </c>
      <c r="B172" s="135">
        <v>43210.556922453703</v>
      </c>
      <c r="C172" s="30" t="s">
        <v>27</v>
      </c>
      <c r="D172" s="30"/>
      <c r="E172" s="30">
        <v>11</v>
      </c>
      <c r="F172" s="30">
        <v>37</v>
      </c>
      <c r="G172" s="27">
        <v>4</v>
      </c>
      <c r="H172" s="31">
        <f t="shared" si="11"/>
        <v>1404</v>
      </c>
      <c r="J172" s="127">
        <f t="shared" si="12"/>
        <v>10</v>
      </c>
      <c r="K172" s="128">
        <f t="shared" si="13"/>
        <v>2</v>
      </c>
      <c r="L172" s="123" t="str">
        <f t="shared" si="0"/>
        <v>NO</v>
      </c>
      <c r="M172" s="140">
        <f t="shared" si="1"/>
        <v>0.55692245370300952</v>
      </c>
    </row>
    <row r="173" spans="1:13" s="123" customFormat="1" ht="24" customHeight="1">
      <c r="A173" s="26">
        <v>43210</v>
      </c>
      <c r="B173" s="135">
        <v>43210.523129745372</v>
      </c>
      <c r="C173" s="30" t="s">
        <v>87</v>
      </c>
      <c r="D173" s="30"/>
      <c r="E173" s="30">
        <v>2</v>
      </c>
      <c r="F173" s="30">
        <v>0</v>
      </c>
      <c r="G173" s="27">
        <v>0</v>
      </c>
      <c r="H173" s="31">
        <f t="shared" si="11"/>
        <v>1403</v>
      </c>
      <c r="J173" s="127">
        <f t="shared" si="12"/>
        <v>0</v>
      </c>
      <c r="K173" s="128">
        <f t="shared" si="13"/>
        <v>0</v>
      </c>
      <c r="L173" s="123" t="str">
        <f t="shared" si="0"/>
        <v>NO</v>
      </c>
      <c r="M173" s="140">
        <f t="shared" si="1"/>
        <v>0.52312974537198897</v>
      </c>
    </row>
    <row r="174" spans="1:13" s="123" customFormat="1" ht="24" customHeight="1">
      <c r="A174" s="26">
        <v>43210</v>
      </c>
      <c r="B174" s="135">
        <v>43210.522700231479</v>
      </c>
      <c r="C174" s="30" t="s">
        <v>87</v>
      </c>
      <c r="D174" s="30"/>
      <c r="E174" s="30">
        <v>2</v>
      </c>
      <c r="F174" s="30">
        <v>0</v>
      </c>
      <c r="G174" s="27">
        <v>0</v>
      </c>
      <c r="H174" s="31">
        <f t="shared" si="11"/>
        <v>1402</v>
      </c>
      <c r="J174" s="127">
        <f t="shared" si="12"/>
        <v>0</v>
      </c>
      <c r="K174" s="128">
        <f t="shared" si="13"/>
        <v>0</v>
      </c>
      <c r="L174" s="123" t="str">
        <f t="shared" si="0"/>
        <v>NO</v>
      </c>
      <c r="M174" s="140">
        <f t="shared" si="1"/>
        <v>0.52270023147866596</v>
      </c>
    </row>
    <row r="175" spans="1:13" s="123" customFormat="1" ht="24" customHeight="1">
      <c r="A175" s="26">
        <v>43210</v>
      </c>
      <c r="B175" s="135">
        <v>43210.501284953702</v>
      </c>
      <c r="C175" s="30" t="s">
        <v>79</v>
      </c>
      <c r="D175" s="30"/>
      <c r="E175" s="30">
        <v>1</v>
      </c>
      <c r="F175" s="30">
        <v>0</v>
      </c>
      <c r="G175" s="27">
        <v>4</v>
      </c>
      <c r="H175" s="165">
        <f t="shared" si="11"/>
        <v>1401</v>
      </c>
      <c r="J175" s="127">
        <f t="shared" si="12"/>
        <v>0</v>
      </c>
      <c r="K175" s="128">
        <f t="shared" si="13"/>
        <v>2</v>
      </c>
      <c r="L175" s="123" t="str">
        <f t="shared" si="0"/>
        <v>NO</v>
      </c>
      <c r="M175" s="140">
        <f t="shared" si="1"/>
        <v>0.50128495370154269</v>
      </c>
    </row>
    <row r="176" spans="1:13" s="123" customFormat="1" ht="24" customHeight="1">
      <c r="A176" s="26">
        <v>43210</v>
      </c>
      <c r="B176" s="135">
        <v>43210.491600810186</v>
      </c>
      <c r="C176" s="30" t="s">
        <v>109</v>
      </c>
      <c r="D176" s="30"/>
      <c r="E176" s="30">
        <v>2</v>
      </c>
      <c r="F176" s="30">
        <v>0</v>
      </c>
      <c r="G176" s="27">
        <v>0</v>
      </c>
      <c r="H176" s="165">
        <f t="shared" si="11"/>
        <v>1400</v>
      </c>
      <c r="J176" s="127">
        <f t="shared" si="12"/>
        <v>0</v>
      </c>
      <c r="K176" s="128">
        <f t="shared" si="13"/>
        <v>0</v>
      </c>
      <c r="L176" s="123" t="str">
        <f t="shared" si="0"/>
        <v>NO</v>
      </c>
      <c r="M176" s="140">
        <f t="shared" si="1"/>
        <v>0.49160081018635537</v>
      </c>
    </row>
    <row r="177" spans="1:13" s="123" customFormat="1" ht="24" customHeight="1">
      <c r="A177" s="26">
        <v>43210</v>
      </c>
      <c r="B177" s="135">
        <v>43210.489056712962</v>
      </c>
      <c r="C177" s="30" t="s">
        <v>77</v>
      </c>
      <c r="D177" s="30"/>
      <c r="E177" s="30">
        <v>2</v>
      </c>
      <c r="F177" s="30">
        <v>17</v>
      </c>
      <c r="G177" s="27">
        <v>0</v>
      </c>
      <c r="H177" s="31">
        <f t="shared" si="11"/>
        <v>1399</v>
      </c>
      <c r="J177" s="127">
        <f t="shared" si="12"/>
        <v>5</v>
      </c>
      <c r="K177" s="128">
        <f t="shared" si="13"/>
        <v>0</v>
      </c>
      <c r="L177" s="123" t="str">
        <f t="shared" si="0"/>
        <v>NO</v>
      </c>
      <c r="M177" s="140">
        <f t="shared" si="1"/>
        <v>0.48905671296233777</v>
      </c>
    </row>
    <row r="178" spans="1:13" s="123" customFormat="1" ht="24" customHeight="1">
      <c r="A178" s="26">
        <v>43210</v>
      </c>
      <c r="B178" s="135">
        <v>43210.478103587964</v>
      </c>
      <c r="C178" s="30" t="s">
        <v>19</v>
      </c>
      <c r="D178" s="30"/>
      <c r="E178" s="30">
        <v>3</v>
      </c>
      <c r="F178" s="30">
        <v>3</v>
      </c>
      <c r="G178" s="27">
        <v>2</v>
      </c>
      <c r="H178" s="31">
        <f t="shared" si="11"/>
        <v>1398</v>
      </c>
      <c r="J178" s="127">
        <f t="shared" si="12"/>
        <v>1</v>
      </c>
      <c r="K178" s="128">
        <f t="shared" si="13"/>
        <v>1</v>
      </c>
      <c r="L178" s="123" t="str">
        <f t="shared" si="0"/>
        <v>NO</v>
      </c>
      <c r="M178" s="140">
        <f t="shared" si="1"/>
        <v>0.47810358796414221</v>
      </c>
    </row>
    <row r="179" spans="1:13" s="123" customFormat="1" ht="24" customHeight="1">
      <c r="A179" s="26">
        <v>43210</v>
      </c>
      <c r="B179" s="135">
        <v>43210.388313541669</v>
      </c>
      <c r="C179" s="30" t="s">
        <v>13</v>
      </c>
      <c r="D179" s="30"/>
      <c r="E179" s="30">
        <v>16</v>
      </c>
      <c r="F179" s="30">
        <v>24</v>
      </c>
      <c r="G179" s="27">
        <v>6</v>
      </c>
      <c r="H179" s="165">
        <f t="shared" si="11"/>
        <v>1397</v>
      </c>
      <c r="J179" s="127">
        <f t="shared" si="12"/>
        <v>6</v>
      </c>
      <c r="K179" s="128">
        <f t="shared" si="13"/>
        <v>3</v>
      </c>
      <c r="L179" s="123" t="str">
        <f t="shared" si="0"/>
        <v>NO</v>
      </c>
      <c r="M179" s="140">
        <f t="shared" si="1"/>
        <v>0.3883135416690493</v>
      </c>
    </row>
    <row r="180" spans="1:13" s="123" customFormat="1" ht="24" customHeight="1">
      <c r="A180" s="26">
        <v>43210</v>
      </c>
      <c r="B180" s="135">
        <v>43210.341032638891</v>
      </c>
      <c r="C180" s="30" t="s">
        <v>13</v>
      </c>
      <c r="D180" s="30"/>
      <c r="E180" s="30">
        <v>0</v>
      </c>
      <c r="F180" s="30">
        <v>24</v>
      </c>
      <c r="G180" s="27">
        <v>0</v>
      </c>
      <c r="H180" s="165">
        <f t="shared" si="11"/>
        <v>1396</v>
      </c>
      <c r="J180" s="127">
        <f t="shared" si="12"/>
        <v>6</v>
      </c>
      <c r="K180" s="128">
        <f t="shared" si="13"/>
        <v>0</v>
      </c>
      <c r="L180" s="123" t="str">
        <f t="shared" si="0"/>
        <v>NO</v>
      </c>
      <c r="M180" s="140">
        <f t="shared" si="1"/>
        <v>0.34103263889119262</v>
      </c>
    </row>
    <row r="181" spans="1:13" s="123" customFormat="1" ht="24" customHeight="1">
      <c r="A181" s="26">
        <v>43210</v>
      </c>
      <c r="B181" s="135">
        <v>43210.334079629632</v>
      </c>
      <c r="C181" s="30" t="s">
        <v>13</v>
      </c>
      <c r="D181" s="30"/>
      <c r="E181" s="30">
        <v>0</v>
      </c>
      <c r="F181" s="30">
        <v>20</v>
      </c>
      <c r="G181" s="27">
        <v>0</v>
      </c>
      <c r="H181" s="165">
        <f t="shared" si="11"/>
        <v>1395</v>
      </c>
      <c r="J181" s="127">
        <f t="shared" si="12"/>
        <v>5</v>
      </c>
      <c r="K181" s="128">
        <f t="shared" si="13"/>
        <v>0</v>
      </c>
      <c r="L181" s="123" t="str">
        <f t="shared" si="0"/>
        <v>NO</v>
      </c>
      <c r="M181" s="140">
        <f t="shared" si="1"/>
        <v>0.33407962963246973</v>
      </c>
    </row>
    <row r="182" spans="1:13" s="123" customFormat="1" ht="24" customHeight="1">
      <c r="A182" s="26">
        <v>43210</v>
      </c>
      <c r="B182" s="135">
        <v>43210.303767245372</v>
      </c>
      <c r="C182" s="30" t="s">
        <v>34</v>
      </c>
      <c r="D182" s="30"/>
      <c r="E182" s="30">
        <v>3</v>
      </c>
      <c r="F182" s="30">
        <v>12</v>
      </c>
      <c r="G182" s="27">
        <v>0</v>
      </c>
      <c r="H182" s="165">
        <f t="shared" si="11"/>
        <v>1394</v>
      </c>
      <c r="J182" s="127">
        <f t="shared" si="12"/>
        <v>3</v>
      </c>
      <c r="K182" s="128">
        <f t="shared" si="13"/>
        <v>0</v>
      </c>
      <c r="L182" s="123" t="str">
        <f t="shared" si="0"/>
        <v>NO</v>
      </c>
      <c r="M182" s="140">
        <f t="shared" si="1"/>
        <v>0.30376724537200062</v>
      </c>
    </row>
    <row r="183" spans="1:13" s="123" customFormat="1" ht="24" customHeight="1">
      <c r="A183" s="26">
        <v>43209</v>
      </c>
      <c r="B183" s="135">
        <v>43209.886136805559</v>
      </c>
      <c r="C183" s="30" t="s">
        <v>89</v>
      </c>
      <c r="D183" s="30"/>
      <c r="E183" s="30">
        <v>0</v>
      </c>
      <c r="F183" s="30">
        <v>6</v>
      </c>
      <c r="G183" s="27">
        <v>0</v>
      </c>
      <c r="H183" s="31">
        <f t="shared" si="11"/>
        <v>1393</v>
      </c>
      <c r="J183" s="127">
        <f t="shared" si="12"/>
        <v>2</v>
      </c>
      <c r="K183" s="128">
        <f t="shared" si="13"/>
        <v>0</v>
      </c>
      <c r="L183" s="123" t="str">
        <f t="shared" si="0"/>
        <v>SI</v>
      </c>
      <c r="M183" s="140">
        <f t="shared" si="1"/>
        <v>0.88613680555863539</v>
      </c>
    </row>
    <row r="184" spans="1:13" s="123" customFormat="1" ht="24" customHeight="1">
      <c r="A184" s="26">
        <v>43209</v>
      </c>
      <c r="B184" s="135">
        <v>43209.885734143521</v>
      </c>
      <c r="C184" s="30" t="s">
        <v>28</v>
      </c>
      <c r="D184" s="30"/>
      <c r="E184" s="30">
        <v>1</v>
      </c>
      <c r="F184" s="30">
        <v>45</v>
      </c>
      <c r="G184" s="27">
        <v>0</v>
      </c>
      <c r="H184" s="165">
        <f t="shared" si="11"/>
        <v>1392</v>
      </c>
      <c r="J184" s="127">
        <f t="shared" si="12"/>
        <v>12</v>
      </c>
      <c r="K184" s="128">
        <f t="shared" si="13"/>
        <v>0</v>
      </c>
      <c r="L184" s="123" t="str">
        <f t="shared" si="0"/>
        <v>SI</v>
      </c>
      <c r="M184" s="140">
        <f t="shared" si="1"/>
        <v>0.88573414352140389</v>
      </c>
    </row>
    <row r="185" spans="1:13" s="123" customFormat="1" ht="24" customHeight="1">
      <c r="A185" s="26">
        <v>43209</v>
      </c>
      <c r="B185" s="135">
        <v>43209.855052777777</v>
      </c>
      <c r="C185" s="30" t="s">
        <v>118</v>
      </c>
      <c r="D185" s="30"/>
      <c r="E185" s="30">
        <v>0</v>
      </c>
      <c r="F185" s="30">
        <v>4</v>
      </c>
      <c r="G185" s="27">
        <v>0</v>
      </c>
      <c r="H185" s="31">
        <f t="shared" si="11"/>
        <v>1391</v>
      </c>
      <c r="J185" s="127">
        <f t="shared" si="12"/>
        <v>1</v>
      </c>
      <c r="K185" s="128">
        <f t="shared" si="13"/>
        <v>0</v>
      </c>
      <c r="L185" s="123" t="str">
        <f t="shared" si="0"/>
        <v>SI</v>
      </c>
      <c r="M185" s="140">
        <f t="shared" si="1"/>
        <v>0.85505277777701849</v>
      </c>
    </row>
    <row r="186" spans="1:13" s="123" customFormat="1" ht="24" customHeight="1">
      <c r="A186" s="26">
        <v>43209</v>
      </c>
      <c r="B186" s="135">
        <v>43209.85387071759</v>
      </c>
      <c r="C186" s="30" t="s">
        <v>36</v>
      </c>
      <c r="D186" s="30"/>
      <c r="E186" s="30">
        <v>13</v>
      </c>
      <c r="F186" s="30">
        <v>12</v>
      </c>
      <c r="G186" s="27">
        <v>0</v>
      </c>
      <c r="H186" s="165">
        <f t="shared" si="11"/>
        <v>1390</v>
      </c>
      <c r="J186" s="127">
        <f t="shared" si="12"/>
        <v>3</v>
      </c>
      <c r="K186" s="128">
        <f t="shared" si="13"/>
        <v>0</v>
      </c>
      <c r="L186" s="123" t="str">
        <f t="shared" si="0"/>
        <v>SI</v>
      </c>
      <c r="M186" s="140">
        <f t="shared" si="1"/>
        <v>0.85387071759032551</v>
      </c>
    </row>
    <row r="187" spans="1:13" s="123" customFormat="1" ht="24" customHeight="1">
      <c r="A187" s="26">
        <v>43209</v>
      </c>
      <c r="B187" s="135">
        <v>43209.799628587964</v>
      </c>
      <c r="C187" s="30" t="s">
        <v>107</v>
      </c>
      <c r="D187" s="30"/>
      <c r="E187" s="30">
        <v>3</v>
      </c>
      <c r="F187" s="30">
        <v>16</v>
      </c>
      <c r="G187" s="27">
        <v>0</v>
      </c>
      <c r="H187" s="31">
        <f t="shared" si="11"/>
        <v>1389</v>
      </c>
      <c r="J187" s="127">
        <f t="shared" si="12"/>
        <v>4</v>
      </c>
      <c r="K187" s="128">
        <f t="shared" si="13"/>
        <v>0</v>
      </c>
      <c r="L187" s="123" t="str">
        <f t="shared" si="0"/>
        <v>SI</v>
      </c>
      <c r="M187" s="140">
        <f t="shared" si="1"/>
        <v>0.79962858796352521</v>
      </c>
    </row>
    <row r="188" spans="1:13" s="123" customFormat="1" ht="24" customHeight="1">
      <c r="A188" s="26">
        <v>43209</v>
      </c>
      <c r="B188" s="135">
        <v>43209.750438888892</v>
      </c>
      <c r="C188" s="30" t="s">
        <v>20</v>
      </c>
      <c r="D188" s="30"/>
      <c r="E188" s="30">
        <v>4</v>
      </c>
      <c r="F188" s="30">
        <v>6</v>
      </c>
      <c r="G188" s="27">
        <v>0</v>
      </c>
      <c r="H188" s="31">
        <f t="shared" si="11"/>
        <v>1388</v>
      </c>
      <c r="J188" s="127">
        <f t="shared" si="12"/>
        <v>2</v>
      </c>
      <c r="K188" s="128">
        <f t="shared" si="13"/>
        <v>0</v>
      </c>
      <c r="L188" s="123" t="str">
        <f t="shared" si="0"/>
        <v>NO</v>
      </c>
      <c r="M188" s="140">
        <f t="shared" si="1"/>
        <v>0.75043888889194932</v>
      </c>
    </row>
    <row r="189" spans="1:13" s="123" customFormat="1" ht="24" customHeight="1">
      <c r="A189" s="26">
        <v>43209</v>
      </c>
      <c r="B189" s="135">
        <v>43209.749823726852</v>
      </c>
      <c r="C189" s="30" t="s">
        <v>11</v>
      </c>
      <c r="D189" s="30"/>
      <c r="E189" s="30">
        <v>1</v>
      </c>
      <c r="F189" s="30">
        <v>11</v>
      </c>
      <c r="G189" s="27">
        <v>0</v>
      </c>
      <c r="H189" s="31">
        <f t="shared" si="11"/>
        <v>1387</v>
      </c>
      <c r="J189" s="127">
        <f t="shared" si="12"/>
        <v>3</v>
      </c>
      <c r="K189" s="128">
        <f t="shared" si="13"/>
        <v>0</v>
      </c>
      <c r="L189" s="123" t="str">
        <f t="shared" si="0"/>
        <v>NO</v>
      </c>
      <c r="M189" s="140">
        <f t="shared" si="1"/>
        <v>0.74982372685190057</v>
      </c>
    </row>
    <row r="190" spans="1:13" s="123" customFormat="1" ht="24" customHeight="1">
      <c r="A190" s="26">
        <v>43209</v>
      </c>
      <c r="B190" s="135">
        <v>43209.744796874998</v>
      </c>
      <c r="C190" s="30" t="s">
        <v>14</v>
      </c>
      <c r="D190" s="30"/>
      <c r="E190" s="30">
        <v>3</v>
      </c>
      <c r="F190" s="30">
        <v>6</v>
      </c>
      <c r="G190" s="27">
        <v>4</v>
      </c>
      <c r="H190" s="31">
        <f t="shared" si="11"/>
        <v>1386</v>
      </c>
      <c r="J190" s="127">
        <f t="shared" si="12"/>
        <v>2</v>
      </c>
      <c r="K190" s="128">
        <f t="shared" si="13"/>
        <v>2</v>
      </c>
      <c r="L190" s="123" t="str">
        <f t="shared" si="0"/>
        <v>NO</v>
      </c>
      <c r="M190" s="140">
        <f t="shared" si="1"/>
        <v>0.74479687499842839</v>
      </c>
    </row>
    <row r="191" spans="1:13" s="123" customFormat="1" ht="24" customHeight="1">
      <c r="A191" s="26">
        <v>43209</v>
      </c>
      <c r="B191" s="135">
        <v>43209.726711921299</v>
      </c>
      <c r="C191" s="30" t="s">
        <v>15</v>
      </c>
      <c r="D191" s="30"/>
      <c r="E191" s="30">
        <v>5</v>
      </c>
      <c r="F191" s="30">
        <v>9</v>
      </c>
      <c r="G191" s="27">
        <v>0</v>
      </c>
      <c r="H191" s="31">
        <f t="shared" si="11"/>
        <v>1385</v>
      </c>
      <c r="J191" s="127">
        <f t="shared" si="12"/>
        <v>3</v>
      </c>
      <c r="K191" s="128">
        <f t="shared" si="13"/>
        <v>0</v>
      </c>
      <c r="L191" s="123" t="str">
        <f t="shared" si="0"/>
        <v>NO</v>
      </c>
      <c r="M191" s="140">
        <f t="shared" si="1"/>
        <v>0.72671192129928386</v>
      </c>
    </row>
    <row r="192" spans="1:13" s="123" customFormat="1" ht="24" customHeight="1">
      <c r="A192" s="26">
        <v>43209</v>
      </c>
      <c r="B192" s="135">
        <v>43209.713980787034</v>
      </c>
      <c r="C192" s="30" t="s">
        <v>26</v>
      </c>
      <c r="D192" s="30"/>
      <c r="E192" s="30">
        <v>4</v>
      </c>
      <c r="F192" s="30">
        <v>0</v>
      </c>
      <c r="G192" s="27">
        <v>0</v>
      </c>
      <c r="H192" s="31">
        <f t="shared" si="11"/>
        <v>1384</v>
      </c>
      <c r="J192" s="127">
        <f t="shared" si="12"/>
        <v>0</v>
      </c>
      <c r="K192" s="128">
        <f t="shared" si="13"/>
        <v>0</v>
      </c>
      <c r="L192" s="123" t="str">
        <f t="shared" si="0"/>
        <v>NO</v>
      </c>
      <c r="M192" s="140">
        <f t="shared" si="1"/>
        <v>0.7139807870335062</v>
      </c>
    </row>
    <row r="193" spans="1:13" s="123" customFormat="1" ht="24" customHeight="1">
      <c r="A193" s="26">
        <v>43209</v>
      </c>
      <c r="B193" s="135">
        <v>43209.587836574072</v>
      </c>
      <c r="C193" s="30" t="s">
        <v>33</v>
      </c>
      <c r="D193" s="30"/>
      <c r="E193" s="30">
        <v>10</v>
      </c>
      <c r="F193" s="30">
        <v>0</v>
      </c>
      <c r="G193" s="27">
        <v>0</v>
      </c>
      <c r="H193" s="165">
        <f t="shared" si="11"/>
        <v>1383</v>
      </c>
      <c r="J193" s="127">
        <f t="shared" si="12"/>
        <v>0</v>
      </c>
      <c r="K193" s="128">
        <f t="shared" si="13"/>
        <v>0</v>
      </c>
      <c r="L193" s="123" t="str">
        <f t="shared" si="0"/>
        <v>NO</v>
      </c>
      <c r="M193" s="140">
        <f t="shared" si="1"/>
        <v>0.58783657407184364</v>
      </c>
    </row>
    <row r="194" spans="1:13" s="123" customFormat="1" ht="24" customHeight="1">
      <c r="A194" s="26">
        <v>43209</v>
      </c>
      <c r="B194" s="135">
        <v>43209.580578819441</v>
      </c>
      <c r="C194" s="30" t="s">
        <v>36</v>
      </c>
      <c r="D194" s="30"/>
      <c r="E194" s="30">
        <v>3</v>
      </c>
      <c r="F194" s="30">
        <v>7</v>
      </c>
      <c r="G194" s="27">
        <v>0</v>
      </c>
      <c r="H194" s="165">
        <f t="shared" si="11"/>
        <v>1382</v>
      </c>
      <c r="J194" s="127">
        <f t="shared" si="12"/>
        <v>2</v>
      </c>
      <c r="K194" s="128">
        <f t="shared" si="13"/>
        <v>0</v>
      </c>
      <c r="L194" s="123" t="str">
        <f t="shared" si="0"/>
        <v>NO</v>
      </c>
      <c r="M194" s="140">
        <f t="shared" si="1"/>
        <v>0.58057881944114342</v>
      </c>
    </row>
    <row r="195" spans="1:13" s="123" customFormat="1" ht="24" customHeight="1">
      <c r="A195" s="26">
        <v>43209</v>
      </c>
      <c r="B195" s="135">
        <v>43209.55396203704</v>
      </c>
      <c r="C195" s="30" t="s">
        <v>18</v>
      </c>
      <c r="D195" s="30"/>
      <c r="E195" s="30">
        <v>3</v>
      </c>
      <c r="F195" s="30">
        <v>9</v>
      </c>
      <c r="G195" s="27">
        <v>0</v>
      </c>
      <c r="H195" s="31">
        <f t="shared" si="11"/>
        <v>1381</v>
      </c>
      <c r="J195" s="127">
        <f t="shared" si="12"/>
        <v>3</v>
      </c>
      <c r="K195" s="128">
        <f t="shared" si="13"/>
        <v>0</v>
      </c>
      <c r="L195" s="123" t="str">
        <f t="shared" si="0"/>
        <v>NO</v>
      </c>
      <c r="M195" s="140">
        <f t="shared" si="1"/>
        <v>0.5539620370400371</v>
      </c>
    </row>
    <row r="196" spans="1:13" s="123" customFormat="1" ht="24" customHeight="1">
      <c r="A196" s="26">
        <v>43209</v>
      </c>
      <c r="B196" s="135">
        <v>43209.533780439815</v>
      </c>
      <c r="C196" s="30" t="s">
        <v>16</v>
      </c>
      <c r="D196" s="30"/>
      <c r="E196" s="30">
        <v>1</v>
      </c>
      <c r="F196" s="30">
        <v>0</v>
      </c>
      <c r="G196" s="27">
        <v>0</v>
      </c>
      <c r="H196" s="165">
        <f t="shared" si="11"/>
        <v>1380</v>
      </c>
      <c r="J196" s="127">
        <f t="shared" si="12"/>
        <v>0</v>
      </c>
      <c r="K196" s="128">
        <f t="shared" si="13"/>
        <v>0</v>
      </c>
      <c r="L196" s="123" t="str">
        <f t="shared" si="0"/>
        <v>NO</v>
      </c>
      <c r="M196" s="140">
        <f t="shared" si="1"/>
        <v>0.53378043981501833</v>
      </c>
    </row>
    <row r="197" spans="1:13" s="123" customFormat="1" ht="24" customHeight="1">
      <c r="A197" s="26">
        <v>43209</v>
      </c>
      <c r="B197" s="135">
        <v>43209.519677083335</v>
      </c>
      <c r="C197" s="30" t="s">
        <v>113</v>
      </c>
      <c r="D197" s="30"/>
      <c r="E197" s="30">
        <v>1</v>
      </c>
      <c r="F197" s="30">
        <v>0</v>
      </c>
      <c r="G197" s="27">
        <v>0</v>
      </c>
      <c r="H197" s="31">
        <f t="shared" si="11"/>
        <v>1379</v>
      </c>
      <c r="J197" s="127">
        <f t="shared" si="12"/>
        <v>0</v>
      </c>
      <c r="K197" s="128">
        <f t="shared" si="13"/>
        <v>0</v>
      </c>
      <c r="L197" s="123" t="str">
        <f t="shared" si="0"/>
        <v>NO</v>
      </c>
      <c r="M197" s="140">
        <f t="shared" si="1"/>
        <v>0.51967708333540941</v>
      </c>
    </row>
    <row r="198" spans="1:13" s="123" customFormat="1" ht="24" customHeight="1">
      <c r="A198" s="26">
        <v>43209</v>
      </c>
      <c r="B198" s="135">
        <v>43209.511823842593</v>
      </c>
      <c r="C198" s="30" t="s">
        <v>21</v>
      </c>
      <c r="D198" s="30"/>
      <c r="E198" s="30">
        <v>1</v>
      </c>
      <c r="F198" s="30">
        <v>8</v>
      </c>
      <c r="G198" s="27">
        <v>0</v>
      </c>
      <c r="H198" s="31">
        <f t="shared" si="11"/>
        <v>1378</v>
      </c>
      <c r="J198" s="127">
        <f t="shared" si="12"/>
        <v>2</v>
      </c>
      <c r="K198" s="128">
        <f t="shared" si="13"/>
        <v>0</v>
      </c>
      <c r="L198" s="123" t="str">
        <f t="shared" si="0"/>
        <v>NO</v>
      </c>
      <c r="M198" s="140">
        <f t="shared" si="1"/>
        <v>0.51182384259300306</v>
      </c>
    </row>
    <row r="199" spans="1:13" s="123" customFormat="1" ht="24" customHeight="1">
      <c r="A199" s="26">
        <v>43209</v>
      </c>
      <c r="B199" s="135">
        <v>43209.51132824074</v>
      </c>
      <c r="C199" s="30" t="s">
        <v>21</v>
      </c>
      <c r="D199" s="30"/>
      <c r="E199" s="30">
        <v>1</v>
      </c>
      <c r="F199" s="30">
        <v>8</v>
      </c>
      <c r="G199" s="27">
        <v>0</v>
      </c>
      <c r="H199" s="31">
        <f t="shared" si="11"/>
        <v>1377</v>
      </c>
      <c r="J199" s="127">
        <f t="shared" si="12"/>
        <v>2</v>
      </c>
      <c r="K199" s="128">
        <f t="shared" si="13"/>
        <v>0</v>
      </c>
      <c r="L199" s="123" t="str">
        <f t="shared" si="0"/>
        <v>NO</v>
      </c>
      <c r="M199" s="140">
        <f t="shared" si="1"/>
        <v>0.51132824074011296</v>
      </c>
    </row>
    <row r="200" spans="1:13" s="123" customFormat="1" ht="24" customHeight="1">
      <c r="A200" s="26">
        <v>43209</v>
      </c>
      <c r="B200" s="135">
        <v>43209.505317708332</v>
      </c>
      <c r="C200" s="30" t="s">
        <v>79</v>
      </c>
      <c r="D200" s="30"/>
      <c r="E200" s="30">
        <v>4</v>
      </c>
      <c r="F200" s="30">
        <v>0</v>
      </c>
      <c r="G200" s="27">
        <v>0</v>
      </c>
      <c r="H200" s="165">
        <f t="shared" si="11"/>
        <v>1376</v>
      </c>
      <c r="J200" s="127">
        <f t="shared" si="12"/>
        <v>0</v>
      </c>
      <c r="K200" s="128">
        <f t="shared" si="13"/>
        <v>0</v>
      </c>
      <c r="L200" s="123" t="str">
        <f t="shared" si="0"/>
        <v>NO</v>
      </c>
      <c r="M200" s="140">
        <f t="shared" si="1"/>
        <v>0.50531770833185874</v>
      </c>
    </row>
    <row r="201" spans="1:13" s="123" customFormat="1" ht="24" customHeight="1">
      <c r="A201" s="26">
        <v>43209</v>
      </c>
      <c r="B201" s="135">
        <v>43209.502003587964</v>
      </c>
      <c r="C201" s="30" t="s">
        <v>27</v>
      </c>
      <c r="D201" s="30"/>
      <c r="E201" s="30">
        <v>4</v>
      </c>
      <c r="F201" s="30">
        <v>15</v>
      </c>
      <c r="G201" s="27">
        <v>2</v>
      </c>
      <c r="H201" s="31">
        <f t="shared" si="11"/>
        <v>1375</v>
      </c>
      <c r="J201" s="127">
        <f t="shared" si="12"/>
        <v>4</v>
      </c>
      <c r="K201" s="128">
        <f t="shared" si="13"/>
        <v>1</v>
      </c>
      <c r="L201" s="123" t="str">
        <f t="shared" si="0"/>
        <v>NO</v>
      </c>
      <c r="M201" s="140">
        <f t="shared" si="1"/>
        <v>0.50200358796428191</v>
      </c>
    </row>
    <row r="202" spans="1:13" s="123" customFormat="1" ht="24" customHeight="1">
      <c r="A202" s="26">
        <v>43209</v>
      </c>
      <c r="B202" s="135">
        <v>43209.481627893518</v>
      </c>
      <c r="C202" s="30" t="s">
        <v>25</v>
      </c>
      <c r="D202" s="30"/>
      <c r="E202" s="30">
        <v>0</v>
      </c>
      <c r="F202" s="30">
        <v>10</v>
      </c>
      <c r="G202" s="27">
        <v>0</v>
      </c>
      <c r="H202" s="31">
        <f t="shared" si="11"/>
        <v>1374</v>
      </c>
      <c r="J202" s="127">
        <f t="shared" si="12"/>
        <v>3</v>
      </c>
      <c r="K202" s="128">
        <f t="shared" si="13"/>
        <v>0</v>
      </c>
      <c r="L202" s="123" t="str">
        <f t="shared" si="0"/>
        <v>NO</v>
      </c>
      <c r="M202" s="140">
        <f t="shared" si="1"/>
        <v>0.48162789351772517</v>
      </c>
    </row>
    <row r="203" spans="1:13" s="123" customFormat="1" ht="24" customHeight="1">
      <c r="A203" s="26">
        <v>43209</v>
      </c>
      <c r="B203" s="135">
        <v>43209.472850810183</v>
      </c>
      <c r="C203" s="30" t="s">
        <v>19</v>
      </c>
      <c r="D203" s="30"/>
      <c r="E203" s="30">
        <v>0</v>
      </c>
      <c r="F203" s="30">
        <v>4</v>
      </c>
      <c r="G203" s="27">
        <v>0</v>
      </c>
      <c r="H203" s="31">
        <f t="shared" si="11"/>
        <v>1373</v>
      </c>
      <c r="J203" s="127">
        <f t="shared" si="12"/>
        <v>1</v>
      </c>
      <c r="K203" s="128">
        <f t="shared" si="13"/>
        <v>0</v>
      </c>
      <c r="L203" s="123" t="str">
        <f t="shared" si="0"/>
        <v>NO</v>
      </c>
      <c r="M203" s="140">
        <f t="shared" si="1"/>
        <v>0.47285081018344499</v>
      </c>
    </row>
    <row r="204" spans="1:13" s="123" customFormat="1" ht="24" customHeight="1">
      <c r="A204" s="26">
        <v>43209</v>
      </c>
      <c r="B204" s="135">
        <v>43209.43567997685</v>
      </c>
      <c r="C204" s="30" t="s">
        <v>36</v>
      </c>
      <c r="D204" s="30"/>
      <c r="E204" s="30">
        <v>2</v>
      </c>
      <c r="F204" s="30">
        <v>5</v>
      </c>
      <c r="G204" s="27">
        <v>0</v>
      </c>
      <c r="H204" s="165">
        <f t="shared" si="11"/>
        <v>1372</v>
      </c>
      <c r="J204" s="127">
        <f t="shared" si="12"/>
        <v>2</v>
      </c>
      <c r="K204" s="128">
        <f t="shared" si="13"/>
        <v>0</v>
      </c>
      <c r="L204" s="123" t="str">
        <f t="shared" si="0"/>
        <v>NO</v>
      </c>
      <c r="M204" s="140">
        <f t="shared" si="1"/>
        <v>0.43567997685022419</v>
      </c>
    </row>
    <row r="205" spans="1:13" s="123" customFormat="1" ht="24" customHeight="1">
      <c r="A205" s="26">
        <v>43209</v>
      </c>
      <c r="B205" s="135">
        <v>43209.422753240739</v>
      </c>
      <c r="C205" s="30" t="s">
        <v>13</v>
      </c>
      <c r="D205" s="30"/>
      <c r="E205" s="30">
        <v>16</v>
      </c>
      <c r="F205" s="30">
        <v>24</v>
      </c>
      <c r="G205" s="27">
        <v>6</v>
      </c>
      <c r="H205" s="165">
        <f t="shared" si="11"/>
        <v>1371</v>
      </c>
      <c r="J205" s="127">
        <f t="shared" si="12"/>
        <v>6</v>
      </c>
      <c r="K205" s="128">
        <f t="shared" si="13"/>
        <v>3</v>
      </c>
      <c r="L205" s="123" t="str">
        <f t="shared" si="0"/>
        <v>NO</v>
      </c>
      <c r="M205" s="140">
        <f t="shared" si="1"/>
        <v>0.42275324073852971</v>
      </c>
    </row>
    <row r="206" spans="1:13" s="123" customFormat="1" ht="24" customHeight="1">
      <c r="A206" s="26">
        <v>43209</v>
      </c>
      <c r="B206" s="135">
        <v>43209.366824652781</v>
      </c>
      <c r="C206" s="30" t="s">
        <v>13</v>
      </c>
      <c r="D206" s="30"/>
      <c r="E206" s="30">
        <v>4</v>
      </c>
      <c r="F206" s="30">
        <v>0</v>
      </c>
      <c r="G206" s="27">
        <v>0</v>
      </c>
      <c r="H206" s="165">
        <f t="shared" si="11"/>
        <v>1370</v>
      </c>
      <c r="J206" s="127">
        <f t="shared" si="12"/>
        <v>0</v>
      </c>
      <c r="K206" s="128">
        <f t="shared" si="13"/>
        <v>0</v>
      </c>
      <c r="L206" s="123" t="str">
        <f t="shared" ref="L206:L460" si="14">+IF(M206 &gt; $L$1,"SI","NO")</f>
        <v>NO</v>
      </c>
      <c r="M206" s="140">
        <f t="shared" ref="M206:M460" si="15">+MOD(B206,1)</f>
        <v>0.36682465278136078</v>
      </c>
    </row>
    <row r="207" spans="1:13" s="123" customFormat="1" ht="24" customHeight="1">
      <c r="A207" s="26">
        <v>43209</v>
      </c>
      <c r="B207" s="135">
        <v>43209.36198425926</v>
      </c>
      <c r="C207" s="30" t="s">
        <v>34</v>
      </c>
      <c r="D207" s="30"/>
      <c r="E207" s="30">
        <v>6</v>
      </c>
      <c r="F207" s="30">
        <v>16</v>
      </c>
      <c r="G207" s="27">
        <v>1</v>
      </c>
      <c r="H207" s="165">
        <f t="shared" si="11"/>
        <v>1369</v>
      </c>
      <c r="J207" s="127">
        <f t="shared" si="12"/>
        <v>4</v>
      </c>
      <c r="K207" s="128">
        <f t="shared" si="13"/>
        <v>1</v>
      </c>
      <c r="L207" s="123" t="str">
        <f t="shared" si="14"/>
        <v>NO</v>
      </c>
      <c r="M207" s="140">
        <f t="shared" si="15"/>
        <v>0.36198425925977062</v>
      </c>
    </row>
    <row r="208" spans="1:13" s="123" customFormat="1" ht="24" customHeight="1">
      <c r="A208" s="26">
        <v>43208</v>
      </c>
      <c r="B208" s="135">
        <v>43208.86989386574</v>
      </c>
      <c r="C208" s="30" t="s">
        <v>36</v>
      </c>
      <c r="D208" s="30"/>
      <c r="E208" s="30">
        <v>0</v>
      </c>
      <c r="F208" s="30">
        <v>6</v>
      </c>
      <c r="G208" s="27">
        <v>0</v>
      </c>
      <c r="H208" s="165">
        <f t="shared" ref="H208:H239" si="16">+H209+1</f>
        <v>1368</v>
      </c>
      <c r="J208" s="127">
        <f t="shared" ref="J208:J239" si="17">+ROUNDUP(F208/4,0)</f>
        <v>2</v>
      </c>
      <c r="K208" s="128">
        <f t="shared" ref="K208:K239" si="18">+ROUNDUP(G208/2,0)</f>
        <v>0</v>
      </c>
      <c r="L208" s="123" t="str">
        <f t="shared" si="14"/>
        <v>SI</v>
      </c>
      <c r="M208" s="140">
        <f t="shared" si="15"/>
        <v>0.86989386573986849</v>
      </c>
    </row>
    <row r="209" spans="1:13" s="123" customFormat="1" ht="24" customHeight="1">
      <c r="A209" s="26">
        <v>43208</v>
      </c>
      <c r="B209" s="135">
        <v>43208.829191550925</v>
      </c>
      <c r="C209" s="30" t="s">
        <v>28</v>
      </c>
      <c r="D209" s="30"/>
      <c r="E209" s="30">
        <v>6</v>
      </c>
      <c r="F209" s="30">
        <v>17</v>
      </c>
      <c r="G209" s="27">
        <v>0</v>
      </c>
      <c r="H209" s="31">
        <f t="shared" si="16"/>
        <v>1367</v>
      </c>
      <c r="J209" s="127">
        <f t="shared" si="17"/>
        <v>5</v>
      </c>
      <c r="K209" s="128">
        <f t="shared" si="18"/>
        <v>0</v>
      </c>
      <c r="L209" s="123" t="str">
        <f t="shared" si="14"/>
        <v>SI</v>
      </c>
      <c r="M209" s="140">
        <f t="shared" si="15"/>
        <v>0.82919155092531582</v>
      </c>
    </row>
    <row r="210" spans="1:13" s="123" customFormat="1" ht="24" customHeight="1">
      <c r="A210" s="26">
        <v>43208</v>
      </c>
      <c r="B210" s="135">
        <v>43208.733683333332</v>
      </c>
      <c r="C210" s="30" t="s">
        <v>36</v>
      </c>
      <c r="D210" s="30"/>
      <c r="E210" s="30">
        <v>1</v>
      </c>
      <c r="F210" s="30">
        <v>8</v>
      </c>
      <c r="G210" s="27">
        <v>0</v>
      </c>
      <c r="H210" s="165">
        <f t="shared" si="16"/>
        <v>1366</v>
      </c>
      <c r="J210" s="127">
        <f t="shared" si="17"/>
        <v>2</v>
      </c>
      <c r="K210" s="128">
        <f t="shared" si="18"/>
        <v>0</v>
      </c>
      <c r="L210" s="123" t="str">
        <f t="shared" si="14"/>
        <v>NO</v>
      </c>
      <c r="M210" s="140">
        <f t="shared" si="15"/>
        <v>0.73368333333201008</v>
      </c>
    </row>
    <row r="211" spans="1:13" s="123" customFormat="1" ht="24" customHeight="1">
      <c r="A211" s="26">
        <v>43208</v>
      </c>
      <c r="B211" s="135">
        <v>43208.718939120372</v>
      </c>
      <c r="C211" s="30" t="s">
        <v>20</v>
      </c>
      <c r="D211" s="30"/>
      <c r="E211" s="30">
        <v>12</v>
      </c>
      <c r="F211" s="30">
        <v>9</v>
      </c>
      <c r="G211" s="27">
        <v>4</v>
      </c>
      <c r="H211" s="31">
        <f t="shared" si="16"/>
        <v>1365</v>
      </c>
      <c r="J211" s="127">
        <f t="shared" si="17"/>
        <v>3</v>
      </c>
      <c r="K211" s="128">
        <f t="shared" si="18"/>
        <v>2</v>
      </c>
      <c r="L211" s="123" t="str">
        <f t="shared" si="14"/>
        <v>NO</v>
      </c>
      <c r="M211" s="140">
        <f t="shared" si="15"/>
        <v>0.71893912037194241</v>
      </c>
    </row>
    <row r="212" spans="1:13" s="123" customFormat="1" ht="24" customHeight="1">
      <c r="A212" s="26">
        <v>43208</v>
      </c>
      <c r="B212" s="135">
        <v>43208.708415393521</v>
      </c>
      <c r="C212" s="30" t="s">
        <v>24</v>
      </c>
      <c r="D212" s="30"/>
      <c r="E212" s="30">
        <v>0</v>
      </c>
      <c r="F212" s="30">
        <v>7</v>
      </c>
      <c r="G212" s="27">
        <v>0</v>
      </c>
      <c r="H212" s="31">
        <f t="shared" si="16"/>
        <v>1364</v>
      </c>
      <c r="J212" s="127">
        <f t="shared" si="17"/>
        <v>2</v>
      </c>
      <c r="K212" s="128">
        <f t="shared" si="18"/>
        <v>0</v>
      </c>
      <c r="L212" s="123" t="str">
        <f t="shared" si="14"/>
        <v>NO</v>
      </c>
      <c r="M212" s="140">
        <f t="shared" si="15"/>
        <v>0.70841539352113614</v>
      </c>
    </row>
    <row r="213" spans="1:13" s="123" customFormat="1" ht="24" customHeight="1">
      <c r="A213" s="26">
        <v>43208</v>
      </c>
      <c r="B213" s="135">
        <v>43208.704080555559</v>
      </c>
      <c r="C213" s="30" t="s">
        <v>26</v>
      </c>
      <c r="D213" s="30"/>
      <c r="E213" s="30">
        <v>2</v>
      </c>
      <c r="F213" s="30">
        <v>0</v>
      </c>
      <c r="G213" s="27">
        <v>0</v>
      </c>
      <c r="H213" s="31">
        <f t="shared" si="16"/>
        <v>1363</v>
      </c>
      <c r="J213" s="127">
        <f t="shared" si="17"/>
        <v>0</v>
      </c>
      <c r="K213" s="128">
        <f t="shared" si="18"/>
        <v>0</v>
      </c>
      <c r="L213" s="123" t="str">
        <f t="shared" si="14"/>
        <v>NO</v>
      </c>
      <c r="M213" s="140">
        <f t="shared" si="15"/>
        <v>0.70408055555890314</v>
      </c>
    </row>
    <row r="214" spans="1:13" s="123" customFormat="1" ht="24" customHeight="1">
      <c r="A214" s="26">
        <v>43208</v>
      </c>
      <c r="B214" s="135">
        <v>43208.694343750001</v>
      </c>
      <c r="C214" s="30" t="s">
        <v>25</v>
      </c>
      <c r="D214" s="30"/>
      <c r="E214" s="30">
        <v>0</v>
      </c>
      <c r="F214" s="30">
        <v>5</v>
      </c>
      <c r="G214" s="27">
        <v>0</v>
      </c>
      <c r="H214" s="31">
        <f t="shared" si="16"/>
        <v>1362</v>
      </c>
      <c r="J214" s="127">
        <f t="shared" si="17"/>
        <v>2</v>
      </c>
      <c r="K214" s="128">
        <f t="shared" si="18"/>
        <v>0</v>
      </c>
      <c r="L214" s="123" t="str">
        <f t="shared" si="14"/>
        <v>NO</v>
      </c>
      <c r="M214" s="140">
        <f t="shared" si="15"/>
        <v>0.69434375000128057</v>
      </c>
    </row>
    <row r="215" spans="1:13" s="123" customFormat="1" ht="24" customHeight="1">
      <c r="A215" s="26">
        <v>43208</v>
      </c>
      <c r="B215" s="135">
        <v>43208.69340034722</v>
      </c>
      <c r="C215" s="30" t="s">
        <v>11</v>
      </c>
      <c r="D215" s="30"/>
      <c r="E215" s="30">
        <v>0</v>
      </c>
      <c r="F215" s="30">
        <v>9</v>
      </c>
      <c r="G215" s="27">
        <v>0</v>
      </c>
      <c r="H215" s="31">
        <f t="shared" si="16"/>
        <v>1361</v>
      </c>
      <c r="J215" s="127">
        <f t="shared" si="17"/>
        <v>3</v>
      </c>
      <c r="K215" s="128">
        <f t="shared" si="18"/>
        <v>0</v>
      </c>
      <c r="L215" s="123" t="str">
        <f t="shared" si="14"/>
        <v>NO</v>
      </c>
      <c r="M215" s="140">
        <f t="shared" si="15"/>
        <v>0.69340034721972188</v>
      </c>
    </row>
    <row r="216" spans="1:13" s="123" customFormat="1" ht="24" customHeight="1">
      <c r="A216" s="26">
        <v>43208</v>
      </c>
      <c r="B216" s="135">
        <v>43208.596077314818</v>
      </c>
      <c r="C216" s="30" t="s">
        <v>33</v>
      </c>
      <c r="D216" s="30"/>
      <c r="E216" s="30">
        <v>5</v>
      </c>
      <c r="F216" s="30">
        <v>18</v>
      </c>
      <c r="G216" s="27">
        <v>0</v>
      </c>
      <c r="H216" s="165">
        <f t="shared" si="16"/>
        <v>1360</v>
      </c>
      <c r="J216" s="127">
        <f t="shared" si="17"/>
        <v>5</v>
      </c>
      <c r="K216" s="128">
        <f t="shared" si="18"/>
        <v>0</v>
      </c>
      <c r="L216" s="123" t="str">
        <f t="shared" si="14"/>
        <v>NO</v>
      </c>
      <c r="M216" s="140">
        <f t="shared" si="15"/>
        <v>0.59607731481810333</v>
      </c>
    </row>
    <row r="217" spans="1:13" s="123" customFormat="1" ht="24" customHeight="1">
      <c r="A217" s="26">
        <v>43208</v>
      </c>
      <c r="B217" s="135">
        <v>43208.55457083333</v>
      </c>
      <c r="C217" s="30" t="s">
        <v>18</v>
      </c>
      <c r="D217" s="30"/>
      <c r="E217" s="30">
        <v>4</v>
      </c>
      <c r="F217" s="30">
        <v>8</v>
      </c>
      <c r="G217" s="27">
        <v>0</v>
      </c>
      <c r="H217" s="31">
        <f t="shared" si="16"/>
        <v>1359</v>
      </c>
      <c r="J217" s="127">
        <f t="shared" si="17"/>
        <v>2</v>
      </c>
      <c r="K217" s="128">
        <f t="shared" si="18"/>
        <v>0</v>
      </c>
      <c r="L217" s="123" t="str">
        <f t="shared" si="14"/>
        <v>NO</v>
      </c>
      <c r="M217" s="140">
        <f t="shared" si="15"/>
        <v>0.55457083333021728</v>
      </c>
    </row>
    <row r="218" spans="1:13" s="123" customFormat="1" ht="24" customHeight="1">
      <c r="A218" s="26">
        <v>43208</v>
      </c>
      <c r="B218" s="135">
        <v>43208.542798148148</v>
      </c>
      <c r="C218" s="30" t="s">
        <v>79</v>
      </c>
      <c r="D218" s="30"/>
      <c r="E218" s="30">
        <v>4</v>
      </c>
      <c r="F218" s="30">
        <v>0</v>
      </c>
      <c r="G218" s="27">
        <v>4</v>
      </c>
      <c r="H218" s="165">
        <f t="shared" si="16"/>
        <v>1358</v>
      </c>
      <c r="J218" s="127">
        <f t="shared" si="17"/>
        <v>0</v>
      </c>
      <c r="K218" s="128">
        <f t="shared" si="18"/>
        <v>2</v>
      </c>
      <c r="L218" s="123" t="str">
        <f t="shared" si="14"/>
        <v>NO</v>
      </c>
      <c r="M218" s="140">
        <f t="shared" si="15"/>
        <v>0.54279814814799465</v>
      </c>
    </row>
    <row r="219" spans="1:13" s="123" customFormat="1" ht="24" customHeight="1">
      <c r="A219" s="26">
        <v>43208</v>
      </c>
      <c r="B219" s="135">
        <v>43208.52505960648</v>
      </c>
      <c r="C219" s="30" t="s">
        <v>19</v>
      </c>
      <c r="D219" s="30"/>
      <c r="E219" s="30">
        <v>4</v>
      </c>
      <c r="F219" s="30">
        <v>5</v>
      </c>
      <c r="G219" s="27">
        <v>2</v>
      </c>
      <c r="H219" s="31">
        <f t="shared" si="16"/>
        <v>1357</v>
      </c>
      <c r="J219" s="127">
        <f t="shared" si="17"/>
        <v>2</v>
      </c>
      <c r="K219" s="128">
        <f t="shared" si="18"/>
        <v>1</v>
      </c>
      <c r="L219" s="123" t="str">
        <f t="shared" si="14"/>
        <v>NO</v>
      </c>
      <c r="M219" s="140">
        <f t="shared" si="15"/>
        <v>0.5250596064797719</v>
      </c>
    </row>
    <row r="220" spans="1:13" s="123" customFormat="1" ht="24" customHeight="1">
      <c r="A220" s="26">
        <v>43208</v>
      </c>
      <c r="B220" s="135">
        <v>43208.512364004629</v>
      </c>
      <c r="C220" s="30" t="s">
        <v>27</v>
      </c>
      <c r="D220" s="30"/>
      <c r="E220" s="30">
        <v>11</v>
      </c>
      <c r="F220" s="30">
        <v>14</v>
      </c>
      <c r="G220" s="27">
        <v>0</v>
      </c>
      <c r="H220" s="31">
        <f t="shared" si="16"/>
        <v>1356</v>
      </c>
      <c r="J220" s="127">
        <f t="shared" si="17"/>
        <v>4</v>
      </c>
      <c r="K220" s="128">
        <f t="shared" si="18"/>
        <v>0</v>
      </c>
      <c r="L220" s="123" t="str">
        <f t="shared" si="14"/>
        <v>NO</v>
      </c>
      <c r="M220" s="140">
        <f t="shared" si="15"/>
        <v>0.5123640046294895</v>
      </c>
    </row>
    <row r="221" spans="1:13" s="123" customFormat="1" ht="24" customHeight="1">
      <c r="A221" s="26">
        <v>43208</v>
      </c>
      <c r="B221" s="135">
        <v>43208.453508101855</v>
      </c>
      <c r="C221" s="30" t="s">
        <v>13</v>
      </c>
      <c r="D221" s="30"/>
      <c r="E221" s="30">
        <v>15</v>
      </c>
      <c r="F221" s="30">
        <v>30</v>
      </c>
      <c r="G221" s="27">
        <v>4</v>
      </c>
      <c r="H221" s="165">
        <f t="shared" si="16"/>
        <v>1355</v>
      </c>
      <c r="J221" s="127">
        <f t="shared" si="17"/>
        <v>8</v>
      </c>
      <c r="K221" s="128">
        <f t="shared" si="18"/>
        <v>2</v>
      </c>
      <c r="L221" s="123" t="str">
        <f t="shared" si="14"/>
        <v>NO</v>
      </c>
      <c r="M221" s="140">
        <f t="shared" si="15"/>
        <v>0.4535081018548226</v>
      </c>
    </row>
    <row r="222" spans="1:13" s="123" customFormat="1" ht="24" customHeight="1">
      <c r="A222" s="26">
        <v>43208</v>
      </c>
      <c r="B222" s="135">
        <v>43208.415106365741</v>
      </c>
      <c r="C222" s="30" t="s">
        <v>13</v>
      </c>
      <c r="D222" s="30"/>
      <c r="E222" s="30">
        <v>0</v>
      </c>
      <c r="F222" s="30">
        <v>0</v>
      </c>
      <c r="G222" s="27">
        <v>4</v>
      </c>
      <c r="H222" s="165">
        <f t="shared" si="16"/>
        <v>1354</v>
      </c>
      <c r="J222" s="127">
        <f t="shared" si="17"/>
        <v>0</v>
      </c>
      <c r="K222" s="128">
        <f t="shared" si="18"/>
        <v>2</v>
      </c>
      <c r="L222" s="123" t="str">
        <f t="shared" si="14"/>
        <v>NO</v>
      </c>
      <c r="M222" s="140">
        <f t="shared" si="15"/>
        <v>0.41510636574093951</v>
      </c>
    </row>
    <row r="223" spans="1:13" s="123" customFormat="1" ht="24" customHeight="1">
      <c r="A223" s="26">
        <v>43208</v>
      </c>
      <c r="B223" s="135">
        <v>43208.410513425923</v>
      </c>
      <c r="C223" s="30" t="s">
        <v>13</v>
      </c>
      <c r="D223" s="30"/>
      <c r="E223" s="30">
        <v>0</v>
      </c>
      <c r="F223" s="30">
        <v>0</v>
      </c>
      <c r="G223" s="27">
        <v>4</v>
      </c>
      <c r="H223" s="31">
        <f t="shared" si="16"/>
        <v>1353</v>
      </c>
      <c r="J223" s="127">
        <f t="shared" si="17"/>
        <v>0</v>
      </c>
      <c r="K223" s="128">
        <f t="shared" si="18"/>
        <v>2</v>
      </c>
      <c r="L223" s="123" t="str">
        <f t="shared" si="14"/>
        <v>NO</v>
      </c>
      <c r="M223" s="140">
        <f t="shared" si="15"/>
        <v>0.41051342592254514</v>
      </c>
    </row>
    <row r="224" spans="1:13" s="123" customFormat="1" ht="24" customHeight="1">
      <c r="A224" s="26">
        <v>43208</v>
      </c>
      <c r="B224" s="135">
        <v>43208.407718402777</v>
      </c>
      <c r="C224" s="30" t="s">
        <v>13</v>
      </c>
      <c r="D224" s="30"/>
      <c r="E224" s="30">
        <v>0</v>
      </c>
      <c r="F224" s="30">
        <v>0</v>
      </c>
      <c r="G224" s="27">
        <v>4</v>
      </c>
      <c r="H224" s="31">
        <f t="shared" si="16"/>
        <v>1352</v>
      </c>
      <c r="J224" s="127">
        <f t="shared" si="17"/>
        <v>0</v>
      </c>
      <c r="K224" s="128">
        <f t="shared" si="18"/>
        <v>2</v>
      </c>
      <c r="L224" s="123" t="str">
        <f t="shared" si="14"/>
        <v>NO</v>
      </c>
      <c r="M224" s="140">
        <f t="shared" si="15"/>
        <v>0.40771840277739102</v>
      </c>
    </row>
    <row r="225" spans="1:13" s="123" customFormat="1" ht="24" customHeight="1">
      <c r="A225" s="26">
        <v>43208</v>
      </c>
      <c r="B225" s="135">
        <v>43208.403786805553</v>
      </c>
      <c r="C225" s="30" t="s">
        <v>13</v>
      </c>
      <c r="D225" s="30"/>
      <c r="E225" s="30">
        <v>0</v>
      </c>
      <c r="F225" s="30">
        <v>12</v>
      </c>
      <c r="G225" s="27">
        <v>0</v>
      </c>
      <c r="H225" s="165">
        <f t="shared" si="16"/>
        <v>1351</v>
      </c>
      <c r="J225" s="127">
        <f t="shared" si="17"/>
        <v>3</v>
      </c>
      <c r="K225" s="128">
        <f t="shared" si="18"/>
        <v>0</v>
      </c>
      <c r="L225" s="123" t="str">
        <f t="shared" si="14"/>
        <v>NO</v>
      </c>
      <c r="M225" s="140">
        <f t="shared" si="15"/>
        <v>0.40378680555295432</v>
      </c>
    </row>
    <row r="226" spans="1:13" s="123" customFormat="1" ht="24" customHeight="1">
      <c r="A226" s="26">
        <v>43208</v>
      </c>
      <c r="B226" s="135">
        <v>43208.39543611111</v>
      </c>
      <c r="C226" s="30" t="s">
        <v>13</v>
      </c>
      <c r="D226" s="30"/>
      <c r="E226" s="30">
        <v>2</v>
      </c>
      <c r="F226" s="30">
        <v>0</v>
      </c>
      <c r="G226" s="27">
        <v>0</v>
      </c>
      <c r="H226" s="165">
        <f t="shared" si="16"/>
        <v>1350</v>
      </c>
      <c r="J226" s="127">
        <f t="shared" si="17"/>
        <v>0</v>
      </c>
      <c r="K226" s="128">
        <f t="shared" si="18"/>
        <v>0</v>
      </c>
      <c r="L226" s="123" t="str">
        <f t="shared" si="14"/>
        <v>NO</v>
      </c>
      <c r="M226" s="140">
        <f t="shared" si="15"/>
        <v>0.39543611111002974</v>
      </c>
    </row>
    <row r="227" spans="1:13" s="123" customFormat="1" ht="24" customHeight="1">
      <c r="A227" s="26">
        <v>43208</v>
      </c>
      <c r="B227" s="135">
        <v>43208.394471874999</v>
      </c>
      <c r="C227" s="30" t="s">
        <v>13</v>
      </c>
      <c r="D227" s="30"/>
      <c r="E227" s="30">
        <v>7</v>
      </c>
      <c r="F227" s="30">
        <v>0</v>
      </c>
      <c r="G227" s="27">
        <v>0</v>
      </c>
      <c r="H227" s="165">
        <f t="shared" si="16"/>
        <v>1349</v>
      </c>
      <c r="J227" s="127">
        <f t="shared" si="17"/>
        <v>0</v>
      </c>
      <c r="K227" s="128">
        <f t="shared" si="18"/>
        <v>0</v>
      </c>
      <c r="L227" s="123" t="str">
        <f t="shared" si="14"/>
        <v>NO</v>
      </c>
      <c r="M227" s="140">
        <f t="shared" si="15"/>
        <v>0.39447187499899883</v>
      </c>
    </row>
    <row r="228" spans="1:13" s="123" customFormat="1" ht="24" customHeight="1">
      <c r="A228" s="26">
        <v>43208</v>
      </c>
      <c r="B228" s="135">
        <v>43208.340464351852</v>
      </c>
      <c r="C228" s="30" t="s">
        <v>34</v>
      </c>
      <c r="D228" s="30"/>
      <c r="E228" s="30">
        <v>7</v>
      </c>
      <c r="F228" s="30">
        <v>12</v>
      </c>
      <c r="G228" s="27">
        <v>0</v>
      </c>
      <c r="H228" s="165">
        <f t="shared" si="16"/>
        <v>1348</v>
      </c>
      <c r="J228" s="127">
        <f t="shared" si="17"/>
        <v>3</v>
      </c>
      <c r="K228" s="128">
        <f t="shared" si="18"/>
        <v>0</v>
      </c>
      <c r="L228" s="123" t="str">
        <f t="shared" si="14"/>
        <v>NO</v>
      </c>
      <c r="M228" s="140">
        <f t="shared" si="15"/>
        <v>0.34046435185155133</v>
      </c>
    </row>
    <row r="229" spans="1:13" s="123" customFormat="1" ht="24" customHeight="1">
      <c r="A229" s="26">
        <v>43207</v>
      </c>
      <c r="B229" s="135">
        <v>43207.977044560183</v>
      </c>
      <c r="C229" s="30" t="s">
        <v>83</v>
      </c>
      <c r="D229" s="30"/>
      <c r="E229" s="30">
        <v>3</v>
      </c>
      <c r="F229" s="30">
        <v>0</v>
      </c>
      <c r="G229" s="27">
        <v>0</v>
      </c>
      <c r="H229" s="31">
        <f t="shared" si="16"/>
        <v>1347</v>
      </c>
      <c r="J229" s="127">
        <f t="shared" si="17"/>
        <v>0</v>
      </c>
      <c r="K229" s="128">
        <f t="shared" si="18"/>
        <v>0</v>
      </c>
      <c r="L229" s="123" t="str">
        <f t="shared" si="14"/>
        <v>SI</v>
      </c>
      <c r="M229" s="140">
        <f t="shared" si="15"/>
        <v>0.97704456018254859</v>
      </c>
    </row>
    <row r="230" spans="1:13" s="123" customFormat="1" ht="24" customHeight="1">
      <c r="A230" s="26">
        <v>43207</v>
      </c>
      <c r="B230" s="135">
        <v>43207.828424305553</v>
      </c>
      <c r="C230" s="30" t="s">
        <v>36</v>
      </c>
      <c r="D230" s="30"/>
      <c r="E230" s="30">
        <v>1</v>
      </c>
      <c r="F230" s="30">
        <v>10</v>
      </c>
      <c r="G230" s="27">
        <v>0</v>
      </c>
      <c r="H230" s="165">
        <f t="shared" si="16"/>
        <v>1346</v>
      </c>
      <c r="J230" s="127">
        <f t="shared" si="17"/>
        <v>3</v>
      </c>
      <c r="K230" s="128">
        <f t="shared" si="18"/>
        <v>0</v>
      </c>
      <c r="L230" s="123" t="str">
        <f t="shared" si="14"/>
        <v>SI</v>
      </c>
      <c r="M230" s="140">
        <f t="shared" si="15"/>
        <v>0.82842430555319879</v>
      </c>
    </row>
    <row r="231" spans="1:13" s="123" customFormat="1" ht="24" customHeight="1">
      <c r="A231" s="26">
        <v>43207</v>
      </c>
      <c r="B231" s="135">
        <v>43207.705323842594</v>
      </c>
      <c r="C231" s="30" t="s">
        <v>36</v>
      </c>
      <c r="D231" s="30"/>
      <c r="E231" s="30">
        <v>1</v>
      </c>
      <c r="F231" s="30">
        <v>0</v>
      </c>
      <c r="G231" s="27">
        <v>0</v>
      </c>
      <c r="H231" s="165">
        <f t="shared" si="16"/>
        <v>1345</v>
      </c>
      <c r="J231" s="127">
        <f t="shared" si="17"/>
        <v>0</v>
      </c>
      <c r="K231" s="128">
        <f t="shared" si="18"/>
        <v>0</v>
      </c>
      <c r="L231" s="123" t="str">
        <f t="shared" si="14"/>
        <v>NO</v>
      </c>
      <c r="M231" s="140">
        <f t="shared" si="15"/>
        <v>0.70532384259422543</v>
      </c>
    </row>
    <row r="232" spans="1:13" s="123" customFormat="1" ht="24" customHeight="1">
      <c r="A232" s="26">
        <v>43207</v>
      </c>
      <c r="B232" s="135">
        <v>43207.698780208331</v>
      </c>
      <c r="C232" s="30" t="s">
        <v>14</v>
      </c>
      <c r="D232" s="30"/>
      <c r="E232" s="30">
        <v>3</v>
      </c>
      <c r="F232" s="30">
        <v>12</v>
      </c>
      <c r="G232" s="27">
        <v>2</v>
      </c>
      <c r="H232" s="31">
        <f t="shared" si="16"/>
        <v>1344</v>
      </c>
      <c r="J232" s="127">
        <f t="shared" si="17"/>
        <v>3</v>
      </c>
      <c r="K232" s="128">
        <f t="shared" si="18"/>
        <v>1</v>
      </c>
      <c r="L232" s="123" t="str">
        <f t="shared" si="14"/>
        <v>NO</v>
      </c>
      <c r="M232" s="140">
        <f t="shared" si="15"/>
        <v>0.69878020833129995</v>
      </c>
    </row>
    <row r="233" spans="1:13" s="123" customFormat="1" ht="24" customHeight="1">
      <c r="A233" s="26">
        <v>43207</v>
      </c>
      <c r="B233" s="135">
        <v>43207.695642245373</v>
      </c>
      <c r="C233" s="30" t="s">
        <v>24</v>
      </c>
      <c r="D233" s="30"/>
      <c r="E233" s="30">
        <v>7</v>
      </c>
      <c r="F233" s="30">
        <v>3</v>
      </c>
      <c r="G233" s="27">
        <v>0</v>
      </c>
      <c r="H233" s="31">
        <f t="shared" si="16"/>
        <v>1343</v>
      </c>
      <c r="J233" s="127">
        <f t="shared" si="17"/>
        <v>1</v>
      </c>
      <c r="K233" s="128">
        <f t="shared" si="18"/>
        <v>0</v>
      </c>
      <c r="L233" s="123" t="str">
        <f t="shared" si="14"/>
        <v>NO</v>
      </c>
      <c r="M233" s="140">
        <f t="shared" si="15"/>
        <v>0.69564224537316477</v>
      </c>
    </row>
    <row r="234" spans="1:13" s="123" customFormat="1" ht="24" customHeight="1">
      <c r="A234" s="26">
        <v>43207</v>
      </c>
      <c r="B234" s="135">
        <v>43207.642229976853</v>
      </c>
      <c r="C234" s="30" t="s">
        <v>20</v>
      </c>
      <c r="D234" s="30"/>
      <c r="E234" s="30">
        <v>6</v>
      </c>
      <c r="F234" s="30">
        <v>8</v>
      </c>
      <c r="G234" s="27">
        <v>2</v>
      </c>
      <c r="H234" s="31">
        <f t="shared" si="16"/>
        <v>1342</v>
      </c>
      <c r="J234" s="127">
        <f t="shared" si="17"/>
        <v>2</v>
      </c>
      <c r="K234" s="128">
        <f t="shared" si="18"/>
        <v>1</v>
      </c>
      <c r="L234" s="123" t="str">
        <f t="shared" si="14"/>
        <v>NO</v>
      </c>
      <c r="M234" s="140">
        <f t="shared" si="15"/>
        <v>0.6422299768528319</v>
      </c>
    </row>
    <row r="235" spans="1:13" s="123" customFormat="1" ht="24" customHeight="1">
      <c r="A235" s="26">
        <v>43207</v>
      </c>
      <c r="B235" s="135">
        <v>43207.606796990738</v>
      </c>
      <c r="C235" s="30" t="s">
        <v>18</v>
      </c>
      <c r="D235" s="30"/>
      <c r="E235" s="30">
        <v>6</v>
      </c>
      <c r="F235" s="30">
        <v>12</v>
      </c>
      <c r="G235" s="27">
        <v>0</v>
      </c>
      <c r="H235" s="31">
        <f t="shared" si="16"/>
        <v>1341</v>
      </c>
      <c r="J235" s="127">
        <f t="shared" si="17"/>
        <v>3</v>
      </c>
      <c r="K235" s="128">
        <f t="shared" si="18"/>
        <v>0</v>
      </c>
      <c r="L235" s="123" t="str">
        <f t="shared" si="14"/>
        <v>NO</v>
      </c>
      <c r="M235" s="140">
        <f t="shared" si="15"/>
        <v>0.60679699073807569</v>
      </c>
    </row>
    <row r="236" spans="1:13" s="123" customFormat="1" ht="24" customHeight="1">
      <c r="A236" s="26">
        <v>43207</v>
      </c>
      <c r="B236" s="135">
        <v>43207.535303009259</v>
      </c>
      <c r="C236" s="30" t="s">
        <v>79</v>
      </c>
      <c r="D236" s="30"/>
      <c r="E236" s="30">
        <v>11</v>
      </c>
      <c r="F236" s="30">
        <v>0</v>
      </c>
      <c r="G236" s="27">
        <v>6</v>
      </c>
      <c r="H236" s="165">
        <f t="shared" si="16"/>
        <v>1340</v>
      </c>
      <c r="J236" s="127">
        <f t="shared" si="17"/>
        <v>0</v>
      </c>
      <c r="K236" s="128">
        <f t="shared" si="18"/>
        <v>3</v>
      </c>
      <c r="L236" s="123" t="str">
        <f t="shared" si="14"/>
        <v>NO</v>
      </c>
      <c r="M236" s="140">
        <f t="shared" si="15"/>
        <v>0.53530300925922347</v>
      </c>
    </row>
    <row r="237" spans="1:13" s="123" customFormat="1" ht="24" customHeight="1">
      <c r="A237" s="26">
        <v>43207</v>
      </c>
      <c r="B237" s="135">
        <v>43207.528433912034</v>
      </c>
      <c r="C237" s="30" t="s">
        <v>38</v>
      </c>
      <c r="D237" s="30"/>
      <c r="E237" s="30">
        <v>2</v>
      </c>
      <c r="F237" s="30">
        <v>0</v>
      </c>
      <c r="G237" s="27">
        <v>0</v>
      </c>
      <c r="H237" s="165">
        <f t="shared" si="16"/>
        <v>1339</v>
      </c>
      <c r="J237" s="127">
        <f t="shared" si="17"/>
        <v>0</v>
      </c>
      <c r="K237" s="128">
        <f t="shared" si="18"/>
        <v>0</v>
      </c>
      <c r="L237" s="123" t="str">
        <f t="shared" si="14"/>
        <v>NO</v>
      </c>
      <c r="M237" s="140">
        <f t="shared" si="15"/>
        <v>0.5284339120335062</v>
      </c>
    </row>
    <row r="238" spans="1:13" s="123" customFormat="1" ht="24" customHeight="1">
      <c r="A238" s="26">
        <v>43207</v>
      </c>
      <c r="B238" s="135">
        <v>43207.510409722221</v>
      </c>
      <c r="C238" s="30" t="s">
        <v>27</v>
      </c>
      <c r="D238" s="30"/>
      <c r="E238" s="30">
        <v>4</v>
      </c>
      <c r="F238" s="30">
        <v>23</v>
      </c>
      <c r="G238" s="27">
        <v>4</v>
      </c>
      <c r="H238" s="31">
        <f t="shared" si="16"/>
        <v>1338</v>
      </c>
      <c r="J238" s="127">
        <f t="shared" si="17"/>
        <v>6</v>
      </c>
      <c r="K238" s="128">
        <f t="shared" si="18"/>
        <v>2</v>
      </c>
      <c r="L238" s="123" t="str">
        <f t="shared" si="14"/>
        <v>NO</v>
      </c>
      <c r="M238" s="140">
        <f t="shared" si="15"/>
        <v>0.51040972222108394</v>
      </c>
    </row>
    <row r="239" spans="1:13" s="123" customFormat="1" ht="24" customHeight="1">
      <c r="A239" s="26">
        <v>43207</v>
      </c>
      <c r="B239" s="135">
        <v>43207.475970023152</v>
      </c>
      <c r="C239" s="30" t="s">
        <v>19</v>
      </c>
      <c r="D239" s="30"/>
      <c r="E239" s="30">
        <v>3</v>
      </c>
      <c r="F239" s="30">
        <v>7</v>
      </c>
      <c r="G239" s="27">
        <v>0</v>
      </c>
      <c r="H239" s="31">
        <f t="shared" si="16"/>
        <v>1337</v>
      </c>
      <c r="J239" s="127">
        <f t="shared" si="17"/>
        <v>2</v>
      </c>
      <c r="K239" s="128">
        <f t="shared" si="18"/>
        <v>0</v>
      </c>
      <c r="L239" s="123" t="str">
        <f t="shared" si="14"/>
        <v>NO</v>
      </c>
      <c r="M239" s="140">
        <f t="shared" si="15"/>
        <v>0.47597002315160353</v>
      </c>
    </row>
    <row r="240" spans="1:13" s="123" customFormat="1" ht="24" customHeight="1">
      <c r="A240" s="26">
        <v>43207</v>
      </c>
      <c r="B240" s="135">
        <v>43207.459864814817</v>
      </c>
      <c r="C240" s="30" t="s">
        <v>13</v>
      </c>
      <c r="D240" s="30"/>
      <c r="E240" s="30">
        <v>16</v>
      </c>
      <c r="F240" s="30">
        <v>40</v>
      </c>
      <c r="G240" s="27">
        <v>8</v>
      </c>
      <c r="H240" s="165">
        <f t="shared" ref="H240:H271" si="19">+H241+1</f>
        <v>1336</v>
      </c>
      <c r="J240" s="127">
        <f t="shared" ref="J240:J271" si="20">+ROUNDUP(F240/4,0)</f>
        <v>10</v>
      </c>
      <c r="K240" s="128">
        <f t="shared" ref="K240:K271" si="21">+ROUNDUP(G240/2,0)</f>
        <v>4</v>
      </c>
      <c r="L240" s="123" t="str">
        <f t="shared" si="14"/>
        <v>NO</v>
      </c>
      <c r="M240" s="140">
        <f t="shared" si="15"/>
        <v>0.45986481481668307</v>
      </c>
    </row>
    <row r="241" spans="1:13" s="123" customFormat="1" ht="24" customHeight="1">
      <c r="A241" s="26">
        <v>43207</v>
      </c>
      <c r="B241" s="135">
        <v>43207.433193287034</v>
      </c>
      <c r="C241" s="30" t="s">
        <v>36</v>
      </c>
      <c r="D241" s="30"/>
      <c r="E241" s="30">
        <v>1</v>
      </c>
      <c r="F241" s="30">
        <v>0</v>
      </c>
      <c r="G241" s="27">
        <v>0</v>
      </c>
      <c r="H241" s="165">
        <f t="shared" si="19"/>
        <v>1335</v>
      </c>
      <c r="J241" s="127">
        <f t="shared" si="20"/>
        <v>0</v>
      </c>
      <c r="K241" s="128">
        <f t="shared" si="21"/>
        <v>0</v>
      </c>
      <c r="L241" s="123" t="str">
        <f t="shared" si="14"/>
        <v>NO</v>
      </c>
      <c r="M241" s="140">
        <f t="shared" si="15"/>
        <v>0.4331932870336459</v>
      </c>
    </row>
    <row r="242" spans="1:13" s="123" customFormat="1" ht="24" customHeight="1">
      <c r="A242" s="26">
        <v>43207</v>
      </c>
      <c r="B242" s="135">
        <v>43207.313675231482</v>
      </c>
      <c r="C242" s="30" t="s">
        <v>34</v>
      </c>
      <c r="D242" s="30"/>
      <c r="E242" s="30">
        <v>0</v>
      </c>
      <c r="F242" s="30">
        <v>20</v>
      </c>
      <c r="G242" s="27">
        <v>0</v>
      </c>
      <c r="H242" s="165">
        <f t="shared" si="19"/>
        <v>1334</v>
      </c>
      <c r="J242" s="127">
        <f t="shared" si="20"/>
        <v>5</v>
      </c>
      <c r="K242" s="128">
        <f t="shared" si="21"/>
        <v>0</v>
      </c>
      <c r="L242" s="123" t="str">
        <f t="shared" si="14"/>
        <v>NO</v>
      </c>
      <c r="M242" s="140">
        <f t="shared" si="15"/>
        <v>0.31367523148219334</v>
      </c>
    </row>
    <row r="243" spans="1:13" s="123" customFormat="1" ht="24" customHeight="1">
      <c r="A243" s="130">
        <v>43207</v>
      </c>
      <c r="B243" s="136"/>
      <c r="C243" s="131"/>
      <c r="D243" s="131"/>
      <c r="E243" s="131"/>
      <c r="F243" s="131"/>
      <c r="G243" s="132"/>
      <c r="H243" s="133">
        <f t="shared" si="19"/>
        <v>1333</v>
      </c>
      <c r="J243" s="127">
        <f t="shared" si="20"/>
        <v>0</v>
      </c>
      <c r="K243" s="128">
        <f t="shared" si="21"/>
        <v>0</v>
      </c>
      <c r="L243" s="123" t="str">
        <f t="shared" si="14"/>
        <v>NO</v>
      </c>
      <c r="M243" s="140">
        <f t="shared" si="15"/>
        <v>0</v>
      </c>
    </row>
    <row r="244" spans="1:13" s="123" customFormat="1" ht="24" customHeight="1">
      <c r="A244" s="26">
        <v>43207</v>
      </c>
      <c r="B244" s="135">
        <v>43207.024607870371</v>
      </c>
      <c r="C244" s="30" t="s">
        <v>109</v>
      </c>
      <c r="D244" s="30"/>
      <c r="E244" s="30">
        <v>0</v>
      </c>
      <c r="F244" s="30">
        <v>6</v>
      </c>
      <c r="G244" s="27">
        <v>0</v>
      </c>
      <c r="H244" s="165">
        <f t="shared" si="19"/>
        <v>1332</v>
      </c>
      <c r="J244" s="127">
        <f t="shared" si="20"/>
        <v>2</v>
      </c>
      <c r="K244" s="128">
        <f t="shared" si="21"/>
        <v>0</v>
      </c>
      <c r="L244" s="123" t="str">
        <f t="shared" si="14"/>
        <v>NO</v>
      </c>
      <c r="M244" s="140">
        <f t="shared" si="15"/>
        <v>2.4607870371255558E-2</v>
      </c>
    </row>
    <row r="245" spans="1:13" s="123" customFormat="1" ht="24" customHeight="1">
      <c r="A245" s="26">
        <v>43206</v>
      </c>
      <c r="B245" s="135">
        <v>43206.831131828701</v>
      </c>
      <c r="C245" s="30" t="s">
        <v>20</v>
      </c>
      <c r="D245" s="30"/>
      <c r="E245" s="30">
        <v>2</v>
      </c>
      <c r="F245" s="30">
        <v>8</v>
      </c>
      <c r="G245" s="27">
        <v>2</v>
      </c>
      <c r="H245" s="31">
        <f t="shared" si="19"/>
        <v>1331</v>
      </c>
      <c r="J245" s="127">
        <f t="shared" si="20"/>
        <v>2</v>
      </c>
      <c r="K245" s="128">
        <f t="shared" si="21"/>
        <v>1</v>
      </c>
      <c r="L245" s="123" t="str">
        <f t="shared" si="14"/>
        <v>SI</v>
      </c>
      <c r="M245" s="140">
        <f t="shared" si="15"/>
        <v>0.83113182870147284</v>
      </c>
    </row>
    <row r="246" spans="1:13" s="123" customFormat="1" ht="24" customHeight="1">
      <c r="A246" s="26">
        <v>43206</v>
      </c>
      <c r="B246" s="135">
        <v>43206.828418750003</v>
      </c>
      <c r="C246" s="30" t="s">
        <v>11</v>
      </c>
      <c r="D246" s="30"/>
      <c r="E246" s="30">
        <v>0</v>
      </c>
      <c r="F246" s="30">
        <v>6</v>
      </c>
      <c r="G246" s="27">
        <v>2</v>
      </c>
      <c r="H246" s="31">
        <f t="shared" si="19"/>
        <v>1330</v>
      </c>
      <c r="J246" s="127">
        <f t="shared" si="20"/>
        <v>2</v>
      </c>
      <c r="K246" s="128">
        <f t="shared" si="21"/>
        <v>1</v>
      </c>
      <c r="L246" s="123" t="str">
        <f t="shared" si="14"/>
        <v>SI</v>
      </c>
      <c r="M246" s="140">
        <f t="shared" si="15"/>
        <v>0.82841875000303844</v>
      </c>
    </row>
    <row r="247" spans="1:13" s="123" customFormat="1" ht="24" customHeight="1">
      <c r="A247" s="26">
        <v>43206</v>
      </c>
      <c r="B247" s="135">
        <v>43206.820101273152</v>
      </c>
      <c r="C247" s="30" t="s">
        <v>24</v>
      </c>
      <c r="D247" s="30"/>
      <c r="E247" s="30">
        <v>6</v>
      </c>
      <c r="F247" s="30">
        <v>10</v>
      </c>
      <c r="G247" s="27">
        <v>0</v>
      </c>
      <c r="H247" s="31">
        <f t="shared" si="19"/>
        <v>1329</v>
      </c>
      <c r="J247" s="127">
        <f t="shared" si="20"/>
        <v>3</v>
      </c>
      <c r="K247" s="128">
        <f t="shared" si="21"/>
        <v>0</v>
      </c>
      <c r="L247" s="123" t="str">
        <f t="shared" si="14"/>
        <v>SI</v>
      </c>
      <c r="M247" s="140">
        <f t="shared" si="15"/>
        <v>0.82010127315152204</v>
      </c>
    </row>
    <row r="248" spans="1:13" s="123" customFormat="1" ht="24" customHeight="1">
      <c r="A248" s="26">
        <v>43206</v>
      </c>
      <c r="B248" s="135">
        <v>43206.815057754633</v>
      </c>
      <c r="C248" s="30" t="s">
        <v>25</v>
      </c>
      <c r="D248" s="30"/>
      <c r="E248" s="30">
        <v>0</v>
      </c>
      <c r="F248" s="30">
        <v>8</v>
      </c>
      <c r="G248" s="27">
        <v>0</v>
      </c>
      <c r="H248" s="31">
        <f t="shared" si="19"/>
        <v>1328</v>
      </c>
      <c r="J248" s="127">
        <f t="shared" si="20"/>
        <v>2</v>
      </c>
      <c r="K248" s="128">
        <f t="shared" si="21"/>
        <v>0</v>
      </c>
      <c r="L248" s="123" t="str">
        <f t="shared" si="14"/>
        <v>SI</v>
      </c>
      <c r="M248" s="140">
        <f t="shared" si="15"/>
        <v>0.81505775463301688</v>
      </c>
    </row>
    <row r="249" spans="1:13" s="123" customFormat="1" ht="24" customHeight="1">
      <c r="A249" s="26">
        <v>43206</v>
      </c>
      <c r="B249" s="135">
        <v>43206.785185069442</v>
      </c>
      <c r="C249" s="30" t="s">
        <v>28</v>
      </c>
      <c r="D249" s="30"/>
      <c r="E249" s="30">
        <v>0</v>
      </c>
      <c r="F249" s="30">
        <v>9</v>
      </c>
      <c r="G249" s="27">
        <v>2</v>
      </c>
      <c r="H249" s="165">
        <f t="shared" si="19"/>
        <v>1327</v>
      </c>
      <c r="J249" s="127">
        <f t="shared" si="20"/>
        <v>3</v>
      </c>
      <c r="K249" s="128">
        <f t="shared" si="21"/>
        <v>1</v>
      </c>
      <c r="L249" s="123" t="str">
        <f t="shared" si="14"/>
        <v>NO</v>
      </c>
      <c r="M249" s="140">
        <f t="shared" si="15"/>
        <v>0.78518506944237743</v>
      </c>
    </row>
    <row r="250" spans="1:13" s="123" customFormat="1" ht="24" customHeight="1">
      <c r="A250" s="26">
        <v>43206</v>
      </c>
      <c r="B250" s="135">
        <v>43206.780853472221</v>
      </c>
      <c r="C250" s="30" t="s">
        <v>89</v>
      </c>
      <c r="D250" s="30"/>
      <c r="E250" s="30">
        <v>6</v>
      </c>
      <c r="F250" s="30">
        <v>0</v>
      </c>
      <c r="G250" s="27">
        <v>0</v>
      </c>
      <c r="H250" s="31">
        <f t="shared" si="19"/>
        <v>1326</v>
      </c>
      <c r="J250" s="127">
        <f t="shared" si="20"/>
        <v>0</v>
      </c>
      <c r="K250" s="128">
        <f t="shared" si="21"/>
        <v>0</v>
      </c>
      <c r="L250" s="123" t="str">
        <f t="shared" si="14"/>
        <v>NO</v>
      </c>
      <c r="M250" s="140">
        <f t="shared" si="15"/>
        <v>0.78085347222076962</v>
      </c>
    </row>
    <row r="251" spans="1:13" s="123" customFormat="1" ht="24" customHeight="1">
      <c r="A251" s="26">
        <v>43206</v>
      </c>
      <c r="B251" s="135">
        <v>43206.744662731478</v>
      </c>
      <c r="C251" s="30" t="s">
        <v>36</v>
      </c>
      <c r="D251" s="30"/>
      <c r="E251" s="30">
        <v>1</v>
      </c>
      <c r="F251" s="30">
        <v>0</v>
      </c>
      <c r="G251" s="27">
        <v>0</v>
      </c>
      <c r="H251" s="165">
        <f t="shared" si="19"/>
        <v>1325</v>
      </c>
      <c r="J251" s="127">
        <f t="shared" si="20"/>
        <v>0</v>
      </c>
      <c r="K251" s="128">
        <f t="shared" si="21"/>
        <v>0</v>
      </c>
      <c r="L251" s="123" t="str">
        <f t="shared" si="14"/>
        <v>NO</v>
      </c>
      <c r="M251" s="140">
        <f t="shared" si="15"/>
        <v>0.74466273147845641</v>
      </c>
    </row>
    <row r="252" spans="1:13" s="123" customFormat="1" ht="24" customHeight="1">
      <c r="A252" s="26">
        <v>43206</v>
      </c>
      <c r="B252" s="135">
        <v>43206.712527430558</v>
      </c>
      <c r="C252" s="30" t="s">
        <v>36</v>
      </c>
      <c r="D252" s="30"/>
      <c r="E252" s="30">
        <v>0</v>
      </c>
      <c r="F252" s="30">
        <v>7</v>
      </c>
      <c r="G252" s="27">
        <v>0</v>
      </c>
      <c r="H252" s="165">
        <f t="shared" si="19"/>
        <v>1324</v>
      </c>
      <c r="J252" s="127">
        <f t="shared" si="20"/>
        <v>2</v>
      </c>
      <c r="K252" s="128">
        <f t="shared" si="21"/>
        <v>0</v>
      </c>
      <c r="L252" s="123" t="str">
        <f t="shared" si="14"/>
        <v>NO</v>
      </c>
      <c r="M252" s="140">
        <f t="shared" si="15"/>
        <v>0.71252743055811152</v>
      </c>
    </row>
    <row r="253" spans="1:13" s="123" customFormat="1" ht="24" customHeight="1">
      <c r="A253" s="26">
        <v>43206</v>
      </c>
      <c r="B253" s="135">
        <v>43206.613589699075</v>
      </c>
      <c r="C253" s="30" t="s">
        <v>14</v>
      </c>
      <c r="D253" s="30"/>
      <c r="E253" s="30">
        <v>4</v>
      </c>
      <c r="F253" s="30">
        <v>4</v>
      </c>
      <c r="G253" s="27">
        <v>4</v>
      </c>
      <c r="H253" s="31">
        <f t="shared" si="19"/>
        <v>1323</v>
      </c>
      <c r="J253" s="127">
        <f t="shared" si="20"/>
        <v>1</v>
      </c>
      <c r="K253" s="128">
        <f t="shared" si="21"/>
        <v>2</v>
      </c>
      <c r="L253" s="123" t="str">
        <f t="shared" si="14"/>
        <v>NO</v>
      </c>
      <c r="M253" s="140">
        <f t="shared" si="15"/>
        <v>0.61358969907450955</v>
      </c>
    </row>
    <row r="254" spans="1:13" s="123" customFormat="1" ht="24" customHeight="1">
      <c r="A254" s="26">
        <v>43206</v>
      </c>
      <c r="B254" s="135">
        <v>43206.601662731482</v>
      </c>
      <c r="C254" s="30" t="s">
        <v>18</v>
      </c>
      <c r="D254" s="30"/>
      <c r="E254" s="30">
        <v>0</v>
      </c>
      <c r="F254" s="30">
        <v>5</v>
      </c>
      <c r="G254" s="27">
        <v>0</v>
      </c>
      <c r="H254" s="31">
        <f t="shared" si="19"/>
        <v>1322</v>
      </c>
      <c r="J254" s="127">
        <f t="shared" si="20"/>
        <v>2</v>
      </c>
      <c r="K254" s="128">
        <f t="shared" si="21"/>
        <v>0</v>
      </c>
      <c r="L254" s="123" t="str">
        <f t="shared" si="14"/>
        <v>NO</v>
      </c>
      <c r="M254" s="140">
        <f t="shared" si="15"/>
        <v>0.60166273148206528</v>
      </c>
    </row>
    <row r="255" spans="1:13" s="123" customFormat="1" ht="24" customHeight="1">
      <c r="A255" s="26">
        <v>43206</v>
      </c>
      <c r="B255" s="135">
        <v>43206.577500694446</v>
      </c>
      <c r="C255" s="30" t="s">
        <v>33</v>
      </c>
      <c r="D255" s="30"/>
      <c r="E255" s="30">
        <v>3</v>
      </c>
      <c r="F255" s="30">
        <v>6</v>
      </c>
      <c r="G255" s="27">
        <v>0</v>
      </c>
      <c r="H255" s="165">
        <f t="shared" si="19"/>
        <v>1321</v>
      </c>
      <c r="J255" s="127">
        <f t="shared" si="20"/>
        <v>2</v>
      </c>
      <c r="K255" s="128">
        <f t="shared" si="21"/>
        <v>0</v>
      </c>
      <c r="L255" s="123" t="str">
        <f t="shared" si="14"/>
        <v>NO</v>
      </c>
      <c r="M255" s="140">
        <f t="shared" si="15"/>
        <v>0.57750069444591645</v>
      </c>
    </row>
    <row r="256" spans="1:13" s="123" customFormat="1" ht="24" customHeight="1">
      <c r="A256" s="26">
        <v>43206</v>
      </c>
      <c r="B256" s="135">
        <v>43206.557170138891</v>
      </c>
      <c r="C256" s="30" t="s">
        <v>21</v>
      </c>
      <c r="D256" s="30"/>
      <c r="E256" s="30">
        <v>1</v>
      </c>
      <c r="F256" s="30">
        <v>6</v>
      </c>
      <c r="G256" s="27">
        <v>0</v>
      </c>
      <c r="H256" s="31">
        <f t="shared" si="19"/>
        <v>1320</v>
      </c>
      <c r="J256" s="127">
        <f t="shared" si="20"/>
        <v>2</v>
      </c>
      <c r="K256" s="128">
        <f t="shared" si="21"/>
        <v>0</v>
      </c>
      <c r="L256" s="123" t="str">
        <f t="shared" si="14"/>
        <v>NO</v>
      </c>
      <c r="M256" s="140">
        <f t="shared" si="15"/>
        <v>0.55717013889079681</v>
      </c>
    </row>
    <row r="257" spans="1:13" s="123" customFormat="1" ht="24" customHeight="1">
      <c r="A257" s="26">
        <v>43206</v>
      </c>
      <c r="B257" s="135">
        <v>43206.543254050928</v>
      </c>
      <c r="C257" s="30" t="s">
        <v>79</v>
      </c>
      <c r="D257" s="30"/>
      <c r="E257" s="30">
        <v>8</v>
      </c>
      <c r="F257" s="30">
        <v>0</v>
      </c>
      <c r="G257" s="27">
        <v>1</v>
      </c>
      <c r="H257" s="165">
        <f t="shared" si="19"/>
        <v>1319</v>
      </c>
      <c r="J257" s="127">
        <f t="shared" si="20"/>
        <v>0</v>
      </c>
      <c r="K257" s="128">
        <f t="shared" si="21"/>
        <v>1</v>
      </c>
      <c r="L257" s="123" t="str">
        <f t="shared" si="14"/>
        <v>NO</v>
      </c>
      <c r="M257" s="140">
        <f t="shared" si="15"/>
        <v>0.54325405092822621</v>
      </c>
    </row>
    <row r="258" spans="1:13" s="123" customFormat="1" ht="24" customHeight="1">
      <c r="A258" s="26">
        <v>43206</v>
      </c>
      <c r="B258" s="135">
        <v>43206.516068634257</v>
      </c>
      <c r="C258" s="30" t="s">
        <v>27</v>
      </c>
      <c r="D258" s="30"/>
      <c r="E258" s="30">
        <v>5</v>
      </c>
      <c r="F258" s="30">
        <v>20</v>
      </c>
      <c r="G258" s="27">
        <v>0</v>
      </c>
      <c r="H258" s="31">
        <f t="shared" si="19"/>
        <v>1318</v>
      </c>
      <c r="J258" s="127">
        <f t="shared" si="20"/>
        <v>5</v>
      </c>
      <c r="K258" s="128">
        <f t="shared" si="21"/>
        <v>0</v>
      </c>
      <c r="L258" s="123" t="str">
        <f t="shared" si="14"/>
        <v>NO</v>
      </c>
      <c r="M258" s="140">
        <f t="shared" si="15"/>
        <v>0.51606863425695337</v>
      </c>
    </row>
    <row r="259" spans="1:13" s="123" customFormat="1" ht="24" customHeight="1">
      <c r="A259" s="26">
        <v>43206</v>
      </c>
      <c r="B259" s="135">
        <v>43206.462027777779</v>
      </c>
      <c r="C259" s="30" t="s">
        <v>13</v>
      </c>
      <c r="D259" s="30"/>
      <c r="E259" s="30">
        <v>8</v>
      </c>
      <c r="F259" s="30">
        <v>24</v>
      </c>
      <c r="G259" s="27">
        <v>0</v>
      </c>
      <c r="H259" s="165">
        <f t="shared" si="19"/>
        <v>1317</v>
      </c>
      <c r="J259" s="127">
        <f t="shared" si="20"/>
        <v>6</v>
      </c>
      <c r="K259" s="128">
        <f t="shared" si="21"/>
        <v>0</v>
      </c>
      <c r="L259" s="123" t="str">
        <f t="shared" si="14"/>
        <v>NO</v>
      </c>
      <c r="M259" s="140">
        <f t="shared" si="15"/>
        <v>0.46202777777943993</v>
      </c>
    </row>
    <row r="260" spans="1:13" s="123" customFormat="1" ht="24" customHeight="1">
      <c r="A260" s="26">
        <v>43206</v>
      </c>
      <c r="B260" s="135">
        <v>43206.432865625</v>
      </c>
      <c r="C260" s="30" t="s">
        <v>13</v>
      </c>
      <c r="D260" s="30"/>
      <c r="E260" s="30">
        <v>21</v>
      </c>
      <c r="F260" s="30">
        <v>40</v>
      </c>
      <c r="G260" s="27">
        <v>4</v>
      </c>
      <c r="H260" s="165">
        <f t="shared" si="19"/>
        <v>1316</v>
      </c>
      <c r="J260" s="127">
        <f t="shared" si="20"/>
        <v>10</v>
      </c>
      <c r="K260" s="128">
        <f t="shared" si="21"/>
        <v>2</v>
      </c>
      <c r="L260" s="123" t="str">
        <f t="shared" si="14"/>
        <v>NO</v>
      </c>
      <c r="M260" s="140">
        <f t="shared" si="15"/>
        <v>0.43286562499997672</v>
      </c>
    </row>
    <row r="261" spans="1:13" s="123" customFormat="1" ht="24" customHeight="1">
      <c r="A261" s="26">
        <v>43206</v>
      </c>
      <c r="B261" s="135">
        <v>43206.370436689816</v>
      </c>
      <c r="C261" s="30" t="s">
        <v>13</v>
      </c>
      <c r="D261" s="30"/>
      <c r="E261" s="30">
        <v>4</v>
      </c>
      <c r="F261" s="30">
        <v>24</v>
      </c>
      <c r="G261" s="27">
        <v>0</v>
      </c>
      <c r="H261" s="165">
        <f t="shared" si="19"/>
        <v>1315</v>
      </c>
      <c r="J261" s="127">
        <f t="shared" si="20"/>
        <v>6</v>
      </c>
      <c r="K261" s="128">
        <f t="shared" si="21"/>
        <v>0</v>
      </c>
      <c r="L261" s="123" t="str">
        <f t="shared" si="14"/>
        <v>NO</v>
      </c>
      <c r="M261" s="140">
        <f t="shared" si="15"/>
        <v>0.37043668981641531</v>
      </c>
    </row>
    <row r="262" spans="1:13" s="123" customFormat="1" ht="24" customHeight="1">
      <c r="A262" s="26">
        <v>43205</v>
      </c>
      <c r="B262" s="135">
        <v>43205.863294097224</v>
      </c>
      <c r="C262" s="30" t="s">
        <v>36</v>
      </c>
      <c r="D262" s="30"/>
      <c r="E262" s="30">
        <v>1</v>
      </c>
      <c r="F262" s="30">
        <v>0</v>
      </c>
      <c r="G262" s="27">
        <v>0</v>
      </c>
      <c r="H262" s="165">
        <f t="shared" si="19"/>
        <v>1314</v>
      </c>
      <c r="J262" s="127">
        <f t="shared" si="20"/>
        <v>0</v>
      </c>
      <c r="K262" s="128">
        <f t="shared" si="21"/>
        <v>0</v>
      </c>
      <c r="L262" s="123" t="str">
        <f t="shared" si="14"/>
        <v>SI</v>
      </c>
      <c r="M262" s="140">
        <f t="shared" si="15"/>
        <v>0.86329409722384298</v>
      </c>
    </row>
    <row r="263" spans="1:13" s="123" customFormat="1" ht="24" customHeight="1">
      <c r="A263" s="26">
        <v>43205</v>
      </c>
      <c r="B263" s="135">
        <v>43205.79990208333</v>
      </c>
      <c r="C263" s="30" t="s">
        <v>36</v>
      </c>
      <c r="D263" s="30"/>
      <c r="E263" s="30">
        <v>1</v>
      </c>
      <c r="F263" s="30">
        <v>0</v>
      </c>
      <c r="G263" s="27">
        <v>0</v>
      </c>
      <c r="H263" s="165">
        <f t="shared" si="19"/>
        <v>1313</v>
      </c>
      <c r="J263" s="127">
        <f t="shared" si="20"/>
        <v>0</v>
      </c>
      <c r="K263" s="128">
        <f t="shared" si="21"/>
        <v>0</v>
      </c>
      <c r="L263" s="123" t="str">
        <f t="shared" si="14"/>
        <v>SI</v>
      </c>
      <c r="M263" s="140">
        <f t="shared" si="15"/>
        <v>0.79990208333038026</v>
      </c>
    </row>
    <row r="264" spans="1:13" s="123" customFormat="1" ht="24" customHeight="1">
      <c r="A264" s="26">
        <v>43205</v>
      </c>
      <c r="B264" s="135">
        <v>43205.790313078702</v>
      </c>
      <c r="C264" s="30" t="s">
        <v>36</v>
      </c>
      <c r="D264" s="30"/>
      <c r="E264" s="30">
        <v>4</v>
      </c>
      <c r="F264" s="30">
        <v>12</v>
      </c>
      <c r="G264" s="27">
        <v>0</v>
      </c>
      <c r="H264" s="31">
        <f t="shared" si="19"/>
        <v>1312</v>
      </c>
      <c r="J264" s="127">
        <f t="shared" si="20"/>
        <v>3</v>
      </c>
      <c r="K264" s="128">
        <f t="shared" si="21"/>
        <v>0</v>
      </c>
      <c r="L264" s="123" t="str">
        <f t="shared" si="14"/>
        <v>NO</v>
      </c>
      <c r="M264" s="140">
        <f t="shared" si="15"/>
        <v>0.79031307870172895</v>
      </c>
    </row>
    <row r="265" spans="1:13" s="123" customFormat="1" ht="24" customHeight="1">
      <c r="A265" s="26">
        <v>43205</v>
      </c>
      <c r="B265" s="135">
        <v>43205.689965625003</v>
      </c>
      <c r="C265" s="30" t="s">
        <v>18</v>
      </c>
      <c r="D265" s="30"/>
      <c r="E265" s="30">
        <v>4</v>
      </c>
      <c r="F265" s="30">
        <v>0</v>
      </c>
      <c r="G265" s="27">
        <v>0</v>
      </c>
      <c r="H265" s="165">
        <f t="shared" si="19"/>
        <v>1311</v>
      </c>
      <c r="J265" s="127">
        <f t="shared" si="20"/>
        <v>0</v>
      </c>
      <c r="K265" s="128">
        <f t="shared" si="21"/>
        <v>0</v>
      </c>
      <c r="L265" s="123" t="str">
        <f t="shared" si="14"/>
        <v>NO</v>
      </c>
      <c r="M265" s="140">
        <f t="shared" si="15"/>
        <v>0.68996562500251457</v>
      </c>
    </row>
    <row r="266" spans="1:13" s="123" customFormat="1" ht="24" customHeight="1">
      <c r="A266" s="26">
        <v>43205</v>
      </c>
      <c r="B266" s="135">
        <v>43205.624802777776</v>
      </c>
      <c r="C266" s="30" t="s">
        <v>77</v>
      </c>
      <c r="D266" s="30"/>
      <c r="E266" s="30">
        <v>0</v>
      </c>
      <c r="F266" s="30">
        <v>7</v>
      </c>
      <c r="G266" s="27">
        <v>0</v>
      </c>
      <c r="H266" s="165">
        <f t="shared" si="19"/>
        <v>1310</v>
      </c>
      <c r="J266" s="127">
        <f t="shared" si="20"/>
        <v>2</v>
      </c>
      <c r="K266" s="128">
        <f t="shared" si="21"/>
        <v>0</v>
      </c>
      <c r="L266" s="123" t="str">
        <f t="shared" si="14"/>
        <v>NO</v>
      </c>
      <c r="M266" s="140">
        <f t="shared" si="15"/>
        <v>0.62480277777649462</v>
      </c>
    </row>
    <row r="267" spans="1:13" s="123" customFormat="1" ht="24" customHeight="1">
      <c r="A267" s="26">
        <v>43204</v>
      </c>
      <c r="B267" s="135">
        <v>43204.829901504629</v>
      </c>
      <c r="C267" s="30" t="s">
        <v>87</v>
      </c>
      <c r="D267" s="30"/>
      <c r="E267" s="30">
        <v>2</v>
      </c>
      <c r="F267" s="30">
        <v>0</v>
      </c>
      <c r="G267" s="27">
        <v>0</v>
      </c>
      <c r="H267" s="31">
        <f t="shared" si="19"/>
        <v>1309</v>
      </c>
      <c r="J267" s="127">
        <f t="shared" si="20"/>
        <v>0</v>
      </c>
      <c r="K267" s="128">
        <f t="shared" si="21"/>
        <v>0</v>
      </c>
      <c r="L267" s="123" t="str">
        <f t="shared" si="14"/>
        <v>SI</v>
      </c>
      <c r="M267" s="140">
        <f t="shared" si="15"/>
        <v>0.82990150462865131</v>
      </c>
    </row>
    <row r="268" spans="1:13" s="123" customFormat="1" ht="24" customHeight="1">
      <c r="A268" s="26">
        <v>43204</v>
      </c>
      <c r="B268" s="135">
        <v>43204.714844444446</v>
      </c>
      <c r="C268" s="30" t="s">
        <v>20</v>
      </c>
      <c r="D268" s="30"/>
      <c r="E268" s="30">
        <v>7</v>
      </c>
      <c r="F268" s="30">
        <v>22</v>
      </c>
      <c r="G268" s="27">
        <v>2</v>
      </c>
      <c r="H268" s="165">
        <f t="shared" si="19"/>
        <v>1308</v>
      </c>
      <c r="J268" s="127">
        <f t="shared" si="20"/>
        <v>6</v>
      </c>
      <c r="K268" s="128">
        <f t="shared" si="21"/>
        <v>1</v>
      </c>
      <c r="L268" s="123" t="str">
        <f t="shared" si="14"/>
        <v>NO</v>
      </c>
      <c r="M268" s="140">
        <f t="shared" si="15"/>
        <v>0.71484444444649853</v>
      </c>
    </row>
    <row r="269" spans="1:13" s="123" customFormat="1" ht="24" customHeight="1">
      <c r="A269" s="26">
        <v>43204</v>
      </c>
      <c r="B269" s="135">
        <v>43204.702961226852</v>
      </c>
      <c r="C269" s="30"/>
      <c r="D269" s="30" t="s">
        <v>174</v>
      </c>
      <c r="E269" s="30">
        <v>1</v>
      </c>
      <c r="F269" s="30">
        <v>0</v>
      </c>
      <c r="G269" s="27">
        <v>0</v>
      </c>
      <c r="H269" s="31">
        <f t="shared" si="19"/>
        <v>1307</v>
      </c>
      <c r="J269" s="127">
        <f t="shared" si="20"/>
        <v>0</v>
      </c>
      <c r="K269" s="128">
        <f t="shared" si="21"/>
        <v>0</v>
      </c>
      <c r="L269" s="123" t="str">
        <f t="shared" si="14"/>
        <v>NO</v>
      </c>
      <c r="M269" s="140">
        <f t="shared" si="15"/>
        <v>0.70296122685249429</v>
      </c>
    </row>
    <row r="270" spans="1:13" s="123" customFormat="1" ht="24" customHeight="1">
      <c r="A270" s="26">
        <v>43204</v>
      </c>
      <c r="B270" s="135">
        <v>43204.702119791669</v>
      </c>
      <c r="C270" s="30"/>
      <c r="D270" s="30"/>
      <c r="E270" s="30">
        <v>1</v>
      </c>
      <c r="F270" s="30">
        <v>0</v>
      </c>
      <c r="G270" s="27">
        <v>0</v>
      </c>
      <c r="H270" s="31">
        <f t="shared" si="19"/>
        <v>1306</v>
      </c>
      <c r="J270" s="127">
        <f t="shared" si="20"/>
        <v>0</v>
      </c>
      <c r="K270" s="128">
        <f t="shared" si="21"/>
        <v>0</v>
      </c>
      <c r="L270" s="123" t="str">
        <f t="shared" si="14"/>
        <v>NO</v>
      </c>
      <c r="M270" s="140">
        <f t="shared" si="15"/>
        <v>0.70211979166924721</v>
      </c>
    </row>
    <row r="271" spans="1:13" s="123" customFormat="1" ht="24" customHeight="1">
      <c r="A271" s="26">
        <v>43204</v>
      </c>
      <c r="B271" s="135">
        <v>43204.689039699071</v>
      </c>
      <c r="C271" s="30" t="s">
        <v>17</v>
      </c>
      <c r="D271" s="30"/>
      <c r="E271" s="30">
        <v>5</v>
      </c>
      <c r="F271" s="30">
        <v>0</v>
      </c>
      <c r="G271" s="27">
        <v>0</v>
      </c>
      <c r="H271" s="165">
        <f t="shared" si="19"/>
        <v>1305</v>
      </c>
      <c r="J271" s="127">
        <f t="shared" si="20"/>
        <v>0</v>
      </c>
      <c r="K271" s="128">
        <f t="shared" si="21"/>
        <v>0</v>
      </c>
      <c r="L271" s="123" t="str">
        <f t="shared" si="14"/>
        <v>NO</v>
      </c>
      <c r="M271" s="140">
        <f t="shared" si="15"/>
        <v>0.68903969907114515</v>
      </c>
    </row>
    <row r="272" spans="1:13" s="123" customFormat="1" ht="24" customHeight="1">
      <c r="A272" s="26">
        <v>43204</v>
      </c>
      <c r="B272" s="135">
        <v>43204.663545949072</v>
      </c>
      <c r="C272" s="30" t="s">
        <v>83</v>
      </c>
      <c r="D272" s="30"/>
      <c r="E272" s="30">
        <v>4</v>
      </c>
      <c r="F272" s="30">
        <v>0</v>
      </c>
      <c r="G272" s="27">
        <v>0</v>
      </c>
      <c r="H272" s="31">
        <f t="shared" ref="H272:H301" si="22">+H273+1</f>
        <v>1304</v>
      </c>
      <c r="J272" s="127">
        <f t="shared" ref="J272:J301" si="23">+ROUNDUP(F272/4,0)</f>
        <v>0</v>
      </c>
      <c r="K272" s="128">
        <f t="shared" ref="K272:K301" si="24">+ROUNDUP(G272/2,0)</f>
        <v>0</v>
      </c>
      <c r="L272" s="123" t="str">
        <f t="shared" si="14"/>
        <v>NO</v>
      </c>
      <c r="M272" s="140">
        <f t="shared" si="15"/>
        <v>0.66354594907170394</v>
      </c>
    </row>
    <row r="273" spans="1:13" s="123" customFormat="1" ht="24" customHeight="1">
      <c r="A273" s="26">
        <v>43204</v>
      </c>
      <c r="B273" s="135">
        <v>43204.660909606479</v>
      </c>
      <c r="C273" s="30" t="s">
        <v>107</v>
      </c>
      <c r="D273" s="30"/>
      <c r="E273" s="30">
        <v>4</v>
      </c>
      <c r="F273" s="30">
        <v>12</v>
      </c>
      <c r="G273" s="27">
        <v>0</v>
      </c>
      <c r="H273" s="31">
        <f t="shared" si="22"/>
        <v>1303</v>
      </c>
      <c r="J273" s="127">
        <f t="shared" si="23"/>
        <v>3</v>
      </c>
      <c r="K273" s="128">
        <f t="shared" si="24"/>
        <v>0</v>
      </c>
      <c r="L273" s="123" t="str">
        <f t="shared" si="14"/>
        <v>NO</v>
      </c>
      <c r="M273" s="140">
        <f t="shared" si="15"/>
        <v>0.66090960647852626</v>
      </c>
    </row>
    <row r="274" spans="1:13" s="123" customFormat="1" ht="24" customHeight="1">
      <c r="A274" s="26">
        <v>43204</v>
      </c>
      <c r="B274" s="135">
        <v>43204.595773379631</v>
      </c>
      <c r="C274" s="30" t="s">
        <v>36</v>
      </c>
      <c r="D274" s="30"/>
      <c r="E274" s="30">
        <v>1</v>
      </c>
      <c r="F274" s="30">
        <v>16</v>
      </c>
      <c r="G274" s="27">
        <v>0</v>
      </c>
      <c r="H274" s="31">
        <f t="shared" si="22"/>
        <v>1302</v>
      </c>
      <c r="J274" s="127">
        <f t="shared" si="23"/>
        <v>4</v>
      </c>
      <c r="K274" s="128">
        <f t="shared" si="24"/>
        <v>0</v>
      </c>
      <c r="L274" s="123" t="str">
        <f t="shared" si="14"/>
        <v>NO</v>
      </c>
      <c r="M274" s="140">
        <f t="shared" si="15"/>
        <v>0.5957733796312823</v>
      </c>
    </row>
    <row r="275" spans="1:13" s="123" customFormat="1" ht="24" customHeight="1">
      <c r="A275" s="26">
        <v>43204</v>
      </c>
      <c r="B275" s="135">
        <v>43204.58158888889</v>
      </c>
      <c r="C275" s="30" t="s">
        <v>19</v>
      </c>
      <c r="D275" s="30"/>
      <c r="E275" s="30">
        <v>1</v>
      </c>
      <c r="F275" s="30">
        <v>8</v>
      </c>
      <c r="G275" s="27">
        <v>0</v>
      </c>
      <c r="H275" s="31">
        <f t="shared" si="22"/>
        <v>1301</v>
      </c>
      <c r="J275" s="127">
        <f t="shared" si="23"/>
        <v>2</v>
      </c>
      <c r="K275" s="128">
        <f t="shared" si="24"/>
        <v>0</v>
      </c>
      <c r="L275" s="123" t="str">
        <f t="shared" si="14"/>
        <v>NO</v>
      </c>
      <c r="M275" s="140">
        <f t="shared" si="15"/>
        <v>0.58158888889010996</v>
      </c>
    </row>
    <row r="276" spans="1:13" s="123" customFormat="1" ht="24" customHeight="1">
      <c r="A276" s="26">
        <v>43204</v>
      </c>
      <c r="B276" s="135">
        <v>43204.576519444447</v>
      </c>
      <c r="C276" s="30" t="s">
        <v>11</v>
      </c>
      <c r="D276" s="30"/>
      <c r="E276" s="30">
        <v>4</v>
      </c>
      <c r="F276" s="30">
        <v>16</v>
      </c>
      <c r="G276" s="27">
        <v>0</v>
      </c>
      <c r="H276" s="31">
        <f t="shared" si="22"/>
        <v>1300</v>
      </c>
      <c r="J276" s="127">
        <f t="shared" si="23"/>
        <v>4</v>
      </c>
      <c r="K276" s="128">
        <f t="shared" si="24"/>
        <v>0</v>
      </c>
      <c r="L276" s="123" t="str">
        <f t="shared" si="14"/>
        <v>NO</v>
      </c>
      <c r="M276" s="140">
        <f t="shared" si="15"/>
        <v>0.5765194444466033</v>
      </c>
    </row>
    <row r="277" spans="1:13" s="123" customFormat="1" ht="24" customHeight="1">
      <c r="A277" s="26">
        <v>43204</v>
      </c>
      <c r="B277" s="135">
        <v>43204.558574884257</v>
      </c>
      <c r="C277" s="30" t="s">
        <v>15</v>
      </c>
      <c r="D277" s="30"/>
      <c r="E277" s="30">
        <v>6</v>
      </c>
      <c r="F277" s="30">
        <v>17</v>
      </c>
      <c r="G277" s="27">
        <v>0</v>
      </c>
      <c r="H277" s="31">
        <f t="shared" si="22"/>
        <v>1299</v>
      </c>
      <c r="J277" s="127">
        <f t="shared" si="23"/>
        <v>5</v>
      </c>
      <c r="K277" s="128">
        <f t="shared" si="24"/>
        <v>0</v>
      </c>
      <c r="L277" s="123" t="str">
        <f t="shared" si="14"/>
        <v>NO</v>
      </c>
      <c r="M277" s="140">
        <f t="shared" si="15"/>
        <v>0.55857488425681368</v>
      </c>
    </row>
    <row r="278" spans="1:13" s="123" customFormat="1" ht="24" customHeight="1">
      <c r="A278" s="26">
        <v>43204</v>
      </c>
      <c r="B278" s="135">
        <v>43204.536614583332</v>
      </c>
      <c r="C278" s="30" t="s">
        <v>33</v>
      </c>
      <c r="D278" s="30"/>
      <c r="E278" s="30">
        <v>6</v>
      </c>
      <c r="F278" s="30">
        <v>17</v>
      </c>
      <c r="G278" s="27">
        <v>0</v>
      </c>
      <c r="H278" s="165">
        <f t="shared" si="22"/>
        <v>1298</v>
      </c>
      <c r="J278" s="127">
        <f t="shared" si="23"/>
        <v>5</v>
      </c>
      <c r="K278" s="128">
        <f t="shared" si="24"/>
        <v>0</v>
      </c>
      <c r="L278" s="123" t="str">
        <f t="shared" si="14"/>
        <v>NO</v>
      </c>
      <c r="M278" s="140">
        <f t="shared" si="15"/>
        <v>0.53661458333226619</v>
      </c>
    </row>
    <row r="279" spans="1:13" s="123" customFormat="1" ht="24" customHeight="1">
      <c r="A279" s="26">
        <v>43204</v>
      </c>
      <c r="B279" s="135">
        <v>43204.517857523148</v>
      </c>
      <c r="C279" s="30" t="s">
        <v>27</v>
      </c>
      <c r="D279" s="30"/>
      <c r="E279" s="30">
        <v>12</v>
      </c>
      <c r="F279" s="30">
        <v>19</v>
      </c>
      <c r="G279" s="27">
        <v>4</v>
      </c>
      <c r="H279" s="31">
        <f t="shared" si="22"/>
        <v>1297</v>
      </c>
      <c r="J279" s="127">
        <f t="shared" si="23"/>
        <v>5</v>
      </c>
      <c r="K279" s="128">
        <f t="shared" si="24"/>
        <v>2</v>
      </c>
      <c r="L279" s="123" t="str">
        <f t="shared" si="14"/>
        <v>NO</v>
      </c>
      <c r="M279" s="140">
        <f t="shared" si="15"/>
        <v>0.51785752314754063</v>
      </c>
    </row>
    <row r="280" spans="1:13" s="123" customFormat="1" ht="24" customHeight="1">
      <c r="A280" s="26">
        <v>43204</v>
      </c>
      <c r="B280" s="135">
        <v>43204.482708796299</v>
      </c>
      <c r="C280" s="30" t="s">
        <v>14</v>
      </c>
      <c r="D280" s="30"/>
      <c r="E280" s="30">
        <v>0</v>
      </c>
      <c r="F280" s="30">
        <v>26</v>
      </c>
      <c r="G280" s="27">
        <v>0</v>
      </c>
      <c r="H280" s="165">
        <f t="shared" si="22"/>
        <v>1296</v>
      </c>
      <c r="J280" s="127">
        <f t="shared" si="23"/>
        <v>7</v>
      </c>
      <c r="K280" s="128">
        <f t="shared" si="24"/>
        <v>0</v>
      </c>
      <c r="L280" s="123" t="str">
        <f t="shared" si="14"/>
        <v>NO</v>
      </c>
      <c r="M280" s="140">
        <f t="shared" si="15"/>
        <v>0.4827087962985388</v>
      </c>
    </row>
    <row r="281" spans="1:13" s="123" customFormat="1" ht="24" customHeight="1">
      <c r="A281" s="26">
        <v>43204</v>
      </c>
      <c r="B281" s="135">
        <v>43204.467472685188</v>
      </c>
      <c r="C281" s="30" t="s">
        <v>18</v>
      </c>
      <c r="D281" s="30"/>
      <c r="E281" s="30">
        <v>6</v>
      </c>
      <c r="F281" s="30">
        <v>11</v>
      </c>
      <c r="G281" s="27">
        <v>0</v>
      </c>
      <c r="H281" s="165">
        <f t="shared" si="22"/>
        <v>1295</v>
      </c>
      <c r="J281" s="127">
        <f t="shared" si="23"/>
        <v>3</v>
      </c>
      <c r="K281" s="128">
        <f t="shared" si="24"/>
        <v>0</v>
      </c>
      <c r="L281" s="123" t="str">
        <f t="shared" si="14"/>
        <v>NO</v>
      </c>
      <c r="M281" s="140">
        <f t="shared" si="15"/>
        <v>0.46747268518811325</v>
      </c>
    </row>
    <row r="282" spans="1:13" s="123" customFormat="1" ht="24" customHeight="1">
      <c r="A282" s="26">
        <v>43204</v>
      </c>
      <c r="B282" s="135">
        <v>43204.429263078702</v>
      </c>
      <c r="C282" s="30" t="s">
        <v>13</v>
      </c>
      <c r="D282" s="30"/>
      <c r="E282" s="30">
        <v>18</v>
      </c>
      <c r="F282" s="30">
        <v>32</v>
      </c>
      <c r="G282" s="27">
        <v>6</v>
      </c>
      <c r="H282" s="165">
        <f t="shared" si="22"/>
        <v>1294</v>
      </c>
      <c r="J282" s="127">
        <f t="shared" si="23"/>
        <v>8</v>
      </c>
      <c r="K282" s="128">
        <f t="shared" si="24"/>
        <v>3</v>
      </c>
      <c r="L282" s="123" t="str">
        <f t="shared" si="14"/>
        <v>NO</v>
      </c>
      <c r="M282" s="140">
        <f t="shared" si="15"/>
        <v>0.42926307870220626</v>
      </c>
    </row>
    <row r="283" spans="1:13" s="123" customFormat="1" ht="24" customHeight="1">
      <c r="A283" s="26">
        <v>43204</v>
      </c>
      <c r="B283" s="135">
        <v>43204.347597916669</v>
      </c>
      <c r="C283" s="30" t="s">
        <v>13</v>
      </c>
      <c r="D283" s="30"/>
      <c r="E283" s="30">
        <v>1</v>
      </c>
      <c r="F283" s="30">
        <v>10</v>
      </c>
      <c r="G283" s="27">
        <v>0</v>
      </c>
      <c r="H283" s="165">
        <f t="shared" si="22"/>
        <v>1293</v>
      </c>
      <c r="J283" s="127">
        <f t="shared" si="23"/>
        <v>3</v>
      </c>
      <c r="K283" s="128">
        <f t="shared" si="24"/>
        <v>0</v>
      </c>
      <c r="L283" s="123" t="str">
        <f t="shared" si="14"/>
        <v>NO</v>
      </c>
      <c r="M283" s="140">
        <f t="shared" si="15"/>
        <v>0.34759791666874662</v>
      </c>
    </row>
    <row r="284" spans="1:13" s="123" customFormat="1" ht="24" customHeight="1">
      <c r="A284" s="26">
        <v>43204</v>
      </c>
      <c r="B284" s="135">
        <v>43204.341247685188</v>
      </c>
      <c r="C284" s="30" t="s">
        <v>34</v>
      </c>
      <c r="D284" s="30"/>
      <c r="E284" s="30">
        <v>3</v>
      </c>
      <c r="F284" s="30">
        <v>24</v>
      </c>
      <c r="G284" s="27">
        <v>0</v>
      </c>
      <c r="H284" s="165">
        <f t="shared" si="22"/>
        <v>1292</v>
      </c>
      <c r="J284" s="127">
        <f t="shared" si="23"/>
        <v>6</v>
      </c>
      <c r="K284" s="128">
        <f t="shared" si="24"/>
        <v>0</v>
      </c>
      <c r="L284" s="123" t="str">
        <f t="shared" si="14"/>
        <v>NO</v>
      </c>
      <c r="M284" s="140">
        <f t="shared" si="15"/>
        <v>0.34124768518813653</v>
      </c>
    </row>
    <row r="285" spans="1:13" s="123" customFormat="1" ht="24" customHeight="1">
      <c r="A285" s="26">
        <v>43203</v>
      </c>
      <c r="B285" s="135">
        <v>43203.903396180554</v>
      </c>
      <c r="C285" s="30" t="s">
        <v>25</v>
      </c>
      <c r="D285" s="30"/>
      <c r="E285" s="30">
        <v>2</v>
      </c>
      <c r="F285" s="30">
        <v>13</v>
      </c>
      <c r="G285" s="27">
        <v>0</v>
      </c>
      <c r="H285" s="165">
        <f t="shared" si="22"/>
        <v>1291</v>
      </c>
      <c r="J285" s="127">
        <f t="shared" si="23"/>
        <v>4</v>
      </c>
      <c r="K285" s="128">
        <f t="shared" si="24"/>
        <v>0</v>
      </c>
      <c r="L285" s="123" t="str">
        <f t="shared" si="14"/>
        <v>SI</v>
      </c>
      <c r="M285" s="140">
        <f t="shared" si="15"/>
        <v>0.90339618055440951</v>
      </c>
    </row>
    <row r="286" spans="1:13" s="123" customFormat="1" ht="24" customHeight="1">
      <c r="A286" s="26">
        <v>43203</v>
      </c>
      <c r="B286" s="135">
        <v>43203.882161574074</v>
      </c>
      <c r="C286" s="30" t="s">
        <v>36</v>
      </c>
      <c r="D286" s="30"/>
      <c r="E286" s="30">
        <v>7</v>
      </c>
      <c r="F286" s="30">
        <v>23</v>
      </c>
      <c r="G286" s="27">
        <v>0</v>
      </c>
      <c r="H286" s="165">
        <f t="shared" si="22"/>
        <v>1290</v>
      </c>
      <c r="J286" s="127">
        <f t="shared" si="23"/>
        <v>6</v>
      </c>
      <c r="K286" s="128">
        <f t="shared" si="24"/>
        <v>0</v>
      </c>
      <c r="L286" s="123" t="str">
        <f t="shared" si="14"/>
        <v>SI</v>
      </c>
      <c r="M286" s="140">
        <f t="shared" si="15"/>
        <v>0.88216157407441642</v>
      </c>
    </row>
    <row r="287" spans="1:13" s="123" customFormat="1" ht="24" customHeight="1">
      <c r="A287" s="26">
        <v>43203</v>
      </c>
      <c r="B287" s="135">
        <v>43203.81034398148</v>
      </c>
      <c r="C287" s="30" t="s">
        <v>28</v>
      </c>
      <c r="D287" s="30"/>
      <c r="E287" s="30">
        <v>3</v>
      </c>
      <c r="F287" s="30">
        <v>19</v>
      </c>
      <c r="G287" s="27">
        <v>0</v>
      </c>
      <c r="H287" s="165">
        <f t="shared" si="22"/>
        <v>1289</v>
      </c>
      <c r="J287" s="127">
        <f t="shared" si="23"/>
        <v>5</v>
      </c>
      <c r="K287" s="128">
        <f t="shared" si="24"/>
        <v>0</v>
      </c>
      <c r="L287" s="123" t="str">
        <f t="shared" si="14"/>
        <v>SI</v>
      </c>
      <c r="M287" s="140">
        <f t="shared" si="15"/>
        <v>0.81034398148040054</v>
      </c>
    </row>
    <row r="288" spans="1:13" s="123" customFormat="1" ht="24" customHeight="1">
      <c r="A288" s="26">
        <v>43203</v>
      </c>
      <c r="B288" s="135">
        <v>43203.796799074073</v>
      </c>
      <c r="C288" s="30" t="s">
        <v>89</v>
      </c>
      <c r="D288" s="30"/>
      <c r="E288" s="30">
        <v>6</v>
      </c>
      <c r="F288" s="30">
        <v>13</v>
      </c>
      <c r="G288" s="27">
        <v>0</v>
      </c>
      <c r="H288" s="31">
        <f t="shared" si="22"/>
        <v>1288</v>
      </c>
      <c r="J288" s="127">
        <f t="shared" si="23"/>
        <v>4</v>
      </c>
      <c r="K288" s="128">
        <f t="shared" si="24"/>
        <v>0</v>
      </c>
      <c r="L288" s="123" t="str">
        <f t="shared" si="14"/>
        <v>SI</v>
      </c>
      <c r="M288" s="140">
        <f t="shared" si="15"/>
        <v>0.79679907407262363</v>
      </c>
    </row>
    <row r="289" spans="1:13" s="123" customFormat="1" ht="24" customHeight="1">
      <c r="A289" s="26">
        <v>43203</v>
      </c>
      <c r="B289" s="135">
        <v>43203.746930787034</v>
      </c>
      <c r="C289" s="30" t="s">
        <v>20</v>
      </c>
      <c r="D289" s="30"/>
      <c r="E289" s="30">
        <v>6</v>
      </c>
      <c r="F289" s="30">
        <v>21</v>
      </c>
      <c r="G289" s="27">
        <v>2</v>
      </c>
      <c r="H289" s="165">
        <f t="shared" si="22"/>
        <v>1287</v>
      </c>
      <c r="J289" s="127">
        <f t="shared" si="23"/>
        <v>6</v>
      </c>
      <c r="K289" s="128">
        <f t="shared" si="24"/>
        <v>1</v>
      </c>
      <c r="L289" s="123" t="str">
        <f t="shared" si="14"/>
        <v>NO</v>
      </c>
      <c r="M289" s="140">
        <f t="shared" si="15"/>
        <v>0.74693078703421634</v>
      </c>
    </row>
    <row r="290" spans="1:13" s="123" customFormat="1" ht="24" customHeight="1">
      <c r="A290" s="26">
        <v>43203</v>
      </c>
      <c r="B290" s="135">
        <v>43203.729226388888</v>
      </c>
      <c r="C290" s="30" t="s">
        <v>11</v>
      </c>
      <c r="D290" s="30"/>
      <c r="E290" s="30">
        <v>2</v>
      </c>
      <c r="F290" s="30">
        <v>0</v>
      </c>
      <c r="G290" s="27">
        <v>2</v>
      </c>
      <c r="H290" s="165">
        <f t="shared" si="22"/>
        <v>1286</v>
      </c>
      <c r="J290" s="127">
        <f t="shared" si="23"/>
        <v>0</v>
      </c>
      <c r="K290" s="128">
        <f t="shared" si="24"/>
        <v>1</v>
      </c>
      <c r="L290" s="123" t="str">
        <f t="shared" si="14"/>
        <v>NO</v>
      </c>
      <c r="M290" s="140">
        <f t="shared" si="15"/>
        <v>0.72922638888849178</v>
      </c>
    </row>
    <row r="291" spans="1:13" s="123" customFormat="1" ht="24" customHeight="1">
      <c r="A291" s="26">
        <v>43203</v>
      </c>
      <c r="B291" s="135">
        <v>43203.713293055553</v>
      </c>
      <c r="C291" s="30" t="s">
        <v>77</v>
      </c>
      <c r="D291" s="30"/>
      <c r="E291" s="30">
        <v>1</v>
      </c>
      <c r="F291" s="30">
        <v>0</v>
      </c>
      <c r="G291" s="27">
        <v>0</v>
      </c>
      <c r="H291" s="165">
        <f t="shared" si="22"/>
        <v>1285</v>
      </c>
      <c r="J291" s="127">
        <f t="shared" si="23"/>
        <v>0</v>
      </c>
      <c r="K291" s="128">
        <f t="shared" si="24"/>
        <v>0</v>
      </c>
      <c r="L291" s="123" t="str">
        <f t="shared" si="14"/>
        <v>NO</v>
      </c>
      <c r="M291" s="140">
        <f t="shared" si="15"/>
        <v>0.71329305555264</v>
      </c>
    </row>
    <row r="292" spans="1:13" s="123" customFormat="1" ht="24" customHeight="1">
      <c r="A292" s="26">
        <v>43203</v>
      </c>
      <c r="B292" s="135">
        <v>43203.704423726849</v>
      </c>
      <c r="C292" s="30" t="s">
        <v>24</v>
      </c>
      <c r="D292" s="30"/>
      <c r="E292" s="30">
        <v>0</v>
      </c>
      <c r="F292" s="30">
        <v>12</v>
      </c>
      <c r="G292" s="27">
        <v>0</v>
      </c>
      <c r="H292" s="165">
        <f t="shared" si="22"/>
        <v>1284</v>
      </c>
      <c r="J292" s="127">
        <f t="shared" si="23"/>
        <v>3</v>
      </c>
      <c r="K292" s="128">
        <f t="shared" si="24"/>
        <v>0</v>
      </c>
      <c r="L292" s="123" t="str">
        <f t="shared" si="14"/>
        <v>NO</v>
      </c>
      <c r="M292" s="140">
        <f t="shared" si="15"/>
        <v>0.70442372684919974</v>
      </c>
    </row>
    <row r="293" spans="1:13" s="123" customFormat="1" ht="24" customHeight="1">
      <c r="A293" s="26">
        <v>43203</v>
      </c>
      <c r="B293" s="135">
        <v>43203.703156365744</v>
      </c>
      <c r="C293" s="30" t="s">
        <v>14</v>
      </c>
      <c r="D293" s="30"/>
      <c r="E293" s="30">
        <v>7</v>
      </c>
      <c r="F293" s="30">
        <v>7</v>
      </c>
      <c r="G293" s="27">
        <v>4</v>
      </c>
      <c r="H293" s="165">
        <f t="shared" si="22"/>
        <v>1283</v>
      </c>
      <c r="J293" s="127">
        <f t="shared" si="23"/>
        <v>2</v>
      </c>
      <c r="K293" s="128">
        <f t="shared" si="24"/>
        <v>2</v>
      </c>
      <c r="L293" s="123" t="str">
        <f t="shared" si="14"/>
        <v>NO</v>
      </c>
      <c r="M293" s="140">
        <f t="shared" si="15"/>
        <v>0.70315636574378004</v>
      </c>
    </row>
    <row r="294" spans="1:13" s="123" customFormat="1" ht="24" customHeight="1">
      <c r="A294" s="26">
        <v>43203</v>
      </c>
      <c r="B294" s="135">
        <v>43203.680642361112</v>
      </c>
      <c r="C294" s="30" t="s">
        <v>109</v>
      </c>
      <c r="D294" s="30"/>
      <c r="E294" s="30">
        <v>2</v>
      </c>
      <c r="F294" s="30">
        <v>0</v>
      </c>
      <c r="G294" s="27">
        <v>0</v>
      </c>
      <c r="H294" s="165">
        <f t="shared" si="22"/>
        <v>1282</v>
      </c>
      <c r="J294" s="127">
        <f t="shared" si="23"/>
        <v>0</v>
      </c>
      <c r="K294" s="128">
        <f t="shared" si="24"/>
        <v>0</v>
      </c>
      <c r="L294" s="123" t="str">
        <f t="shared" si="14"/>
        <v>NO</v>
      </c>
      <c r="M294" s="140">
        <f t="shared" si="15"/>
        <v>0.68064236111240461</v>
      </c>
    </row>
    <row r="295" spans="1:13" s="123" customFormat="1" ht="24" customHeight="1">
      <c r="A295" s="26">
        <v>43203</v>
      </c>
      <c r="B295" s="135">
        <v>43203.675002083335</v>
      </c>
      <c r="C295" s="30" t="s">
        <v>18</v>
      </c>
      <c r="D295" s="30"/>
      <c r="E295" s="30">
        <v>1</v>
      </c>
      <c r="F295" s="30">
        <v>3</v>
      </c>
      <c r="G295" s="27">
        <v>2</v>
      </c>
      <c r="H295" s="165">
        <f t="shared" si="22"/>
        <v>1281</v>
      </c>
      <c r="J295" s="127">
        <f t="shared" si="23"/>
        <v>1</v>
      </c>
      <c r="K295" s="128">
        <f t="shared" si="24"/>
        <v>1</v>
      </c>
      <c r="L295" s="123" t="str">
        <f t="shared" si="14"/>
        <v>NO</v>
      </c>
      <c r="M295" s="140">
        <f t="shared" si="15"/>
        <v>0.67500208333513001</v>
      </c>
    </row>
    <row r="296" spans="1:13" s="123" customFormat="1" ht="24" customHeight="1">
      <c r="A296" s="26">
        <v>43203</v>
      </c>
      <c r="B296" s="135">
        <v>43203.617677430557</v>
      </c>
      <c r="C296" s="30" t="s">
        <v>30</v>
      </c>
      <c r="D296" s="30"/>
      <c r="E296" s="30">
        <v>2</v>
      </c>
      <c r="F296" s="30">
        <v>3</v>
      </c>
      <c r="G296" s="27">
        <v>0</v>
      </c>
      <c r="H296" s="165">
        <f t="shared" si="22"/>
        <v>1280</v>
      </c>
      <c r="J296" s="127">
        <f t="shared" si="23"/>
        <v>1</v>
      </c>
      <c r="K296" s="128">
        <f t="shared" si="24"/>
        <v>0</v>
      </c>
      <c r="L296" s="123" t="str">
        <f t="shared" si="14"/>
        <v>NO</v>
      </c>
      <c r="M296" s="140">
        <f t="shared" si="15"/>
        <v>0.61767743055679603</v>
      </c>
    </row>
    <row r="297" spans="1:13" s="123" customFormat="1" ht="24" customHeight="1">
      <c r="A297" s="26">
        <v>43203</v>
      </c>
      <c r="B297" s="135">
        <v>43203.600209953707</v>
      </c>
      <c r="C297" s="30" t="s">
        <v>79</v>
      </c>
      <c r="D297" s="30"/>
      <c r="E297" s="30">
        <v>0</v>
      </c>
      <c r="F297" s="30">
        <v>0</v>
      </c>
      <c r="G297" s="27">
        <v>10</v>
      </c>
      <c r="H297" s="165">
        <f t="shared" si="22"/>
        <v>1279</v>
      </c>
      <c r="J297" s="127">
        <f t="shared" si="23"/>
        <v>0</v>
      </c>
      <c r="K297" s="128">
        <f t="shared" si="24"/>
        <v>5</v>
      </c>
      <c r="L297" s="123" t="str">
        <f t="shared" si="14"/>
        <v>NO</v>
      </c>
      <c r="M297" s="140">
        <f t="shared" si="15"/>
        <v>0.6002099537072354</v>
      </c>
    </row>
    <row r="298" spans="1:13" s="123" customFormat="1" ht="24" customHeight="1">
      <c r="A298" s="26">
        <v>43203</v>
      </c>
      <c r="B298" s="135">
        <v>43203.570201041664</v>
      </c>
      <c r="C298" s="30" t="s">
        <v>27</v>
      </c>
      <c r="D298" s="30"/>
      <c r="E298" s="30">
        <v>4</v>
      </c>
      <c r="F298" s="30">
        <v>8</v>
      </c>
      <c r="G298" s="27">
        <v>4</v>
      </c>
      <c r="H298" s="31">
        <f t="shared" si="22"/>
        <v>1278</v>
      </c>
      <c r="J298" s="127">
        <f t="shared" si="23"/>
        <v>2</v>
      </c>
      <c r="K298" s="128">
        <f t="shared" si="24"/>
        <v>2</v>
      </c>
      <c r="L298" s="123" t="str">
        <f t="shared" si="14"/>
        <v>NO</v>
      </c>
      <c r="M298" s="140">
        <f t="shared" si="15"/>
        <v>0.57020104166440433</v>
      </c>
    </row>
    <row r="299" spans="1:13" s="123" customFormat="1" ht="24" customHeight="1">
      <c r="A299" s="26">
        <v>43203</v>
      </c>
      <c r="B299" s="135">
        <v>43203.549794328705</v>
      </c>
      <c r="C299" s="30" t="s">
        <v>16</v>
      </c>
      <c r="D299" s="30"/>
      <c r="E299" s="30">
        <v>1</v>
      </c>
      <c r="F299" s="30">
        <v>0</v>
      </c>
      <c r="G299" s="27">
        <v>0</v>
      </c>
      <c r="H299" s="165">
        <f t="shared" si="22"/>
        <v>1277</v>
      </c>
      <c r="J299" s="127">
        <f t="shared" si="23"/>
        <v>0</v>
      </c>
      <c r="K299" s="128">
        <f t="shared" si="24"/>
        <v>0</v>
      </c>
      <c r="L299" s="123" t="str">
        <f t="shared" si="14"/>
        <v>NO</v>
      </c>
      <c r="M299" s="140">
        <f t="shared" si="15"/>
        <v>0.54979432870459277</v>
      </c>
    </row>
    <row r="300" spans="1:13" s="123" customFormat="1" ht="24" customHeight="1">
      <c r="A300" s="26">
        <v>43203</v>
      </c>
      <c r="B300" s="135">
        <v>43203.534688194442</v>
      </c>
      <c r="C300" s="30" t="s">
        <v>36</v>
      </c>
      <c r="D300" s="30"/>
      <c r="E300" s="30">
        <v>0</v>
      </c>
      <c r="F300" s="30">
        <v>8</v>
      </c>
      <c r="G300" s="27">
        <v>0</v>
      </c>
      <c r="H300" s="165">
        <f t="shared" si="22"/>
        <v>1276</v>
      </c>
      <c r="J300" s="127">
        <f t="shared" si="23"/>
        <v>2</v>
      </c>
      <c r="K300" s="128">
        <f t="shared" si="24"/>
        <v>0</v>
      </c>
      <c r="L300" s="123" t="str">
        <f t="shared" si="14"/>
        <v>NO</v>
      </c>
      <c r="M300" s="140">
        <f t="shared" si="15"/>
        <v>0.53468819444242399</v>
      </c>
    </row>
    <row r="301" spans="1:13" s="123" customFormat="1" ht="24" customHeight="1">
      <c r="A301" s="26">
        <v>43203</v>
      </c>
      <c r="B301" s="135">
        <v>43203.529453124997</v>
      </c>
      <c r="C301" s="30" t="s">
        <v>18</v>
      </c>
      <c r="D301" s="30"/>
      <c r="E301" s="30">
        <v>0</v>
      </c>
      <c r="F301" s="30">
        <v>7</v>
      </c>
      <c r="G301" s="27">
        <v>0</v>
      </c>
      <c r="H301" s="165">
        <f t="shared" si="22"/>
        <v>1275</v>
      </c>
      <c r="J301" s="127">
        <f t="shared" si="23"/>
        <v>2</v>
      </c>
      <c r="K301" s="128">
        <f t="shared" si="24"/>
        <v>0</v>
      </c>
      <c r="L301" s="123" t="str">
        <f t="shared" si="14"/>
        <v>NO</v>
      </c>
      <c r="M301" s="140">
        <f t="shared" si="15"/>
        <v>0.52945312499650754</v>
      </c>
    </row>
    <row r="302" spans="1:13" s="123" customFormat="1" ht="24" customHeight="1">
      <c r="A302" s="26">
        <v>43203</v>
      </c>
      <c r="B302" s="135">
        <v>43203.478080439818</v>
      </c>
      <c r="C302" s="30" t="s">
        <v>19</v>
      </c>
      <c r="D302" s="30"/>
      <c r="E302" s="30">
        <v>2</v>
      </c>
      <c r="F302" s="30">
        <v>4</v>
      </c>
      <c r="G302" s="27">
        <v>2</v>
      </c>
      <c r="H302" s="165">
        <f t="shared" ref="H302:H333" si="25">+H303+1</f>
        <v>1274</v>
      </c>
      <c r="J302" s="127">
        <f t="shared" ref="J302:J333" si="26">+ROUNDUP(F302/4,0)</f>
        <v>1</v>
      </c>
      <c r="K302" s="128">
        <f t="shared" ref="K302:K333" si="27">+ROUNDUP(G302/2,0)</f>
        <v>1</v>
      </c>
      <c r="L302" s="123" t="str">
        <f t="shared" si="14"/>
        <v>NO</v>
      </c>
      <c r="M302" s="140">
        <f t="shared" si="15"/>
        <v>0.47808043981785886</v>
      </c>
    </row>
    <row r="303" spans="1:13" s="123" customFormat="1" ht="24" customHeight="1">
      <c r="A303" s="26">
        <v>43203</v>
      </c>
      <c r="B303" s="135">
        <v>43203.403518634259</v>
      </c>
      <c r="C303" s="30" t="s">
        <v>13</v>
      </c>
      <c r="D303" s="30"/>
      <c r="E303" s="30">
        <v>24</v>
      </c>
      <c r="F303" s="30">
        <v>40</v>
      </c>
      <c r="G303" s="27">
        <v>4</v>
      </c>
      <c r="H303" s="165">
        <f t="shared" si="25"/>
        <v>1273</v>
      </c>
      <c r="J303" s="127">
        <f t="shared" si="26"/>
        <v>10</v>
      </c>
      <c r="K303" s="128">
        <f t="shared" si="27"/>
        <v>2</v>
      </c>
      <c r="L303" s="123" t="str">
        <f t="shared" si="14"/>
        <v>NO</v>
      </c>
      <c r="M303" s="140">
        <f t="shared" si="15"/>
        <v>0.40351863425894408</v>
      </c>
    </row>
    <row r="304" spans="1:13" s="123" customFormat="1" ht="24" customHeight="1">
      <c r="A304" s="26">
        <v>43203</v>
      </c>
      <c r="B304" s="135">
        <v>43203.336359259258</v>
      </c>
      <c r="C304" s="30" t="s">
        <v>13</v>
      </c>
      <c r="D304" s="30"/>
      <c r="E304" s="30">
        <v>0</v>
      </c>
      <c r="F304" s="30">
        <v>20</v>
      </c>
      <c r="G304" s="27">
        <v>0</v>
      </c>
      <c r="H304" s="165">
        <f t="shared" si="25"/>
        <v>1272</v>
      </c>
      <c r="J304" s="127">
        <f t="shared" si="26"/>
        <v>5</v>
      </c>
      <c r="K304" s="128">
        <f t="shared" si="27"/>
        <v>0</v>
      </c>
      <c r="L304" s="123" t="str">
        <f t="shared" si="14"/>
        <v>NO</v>
      </c>
      <c r="M304" s="140">
        <f t="shared" si="15"/>
        <v>0.33635925925773336</v>
      </c>
    </row>
    <row r="305" spans="1:13" s="123" customFormat="1" ht="24" customHeight="1">
      <c r="A305" s="26">
        <v>43203</v>
      </c>
      <c r="B305" s="135">
        <v>43203.314021990744</v>
      </c>
      <c r="C305" s="30" t="s">
        <v>34</v>
      </c>
      <c r="D305" s="30"/>
      <c r="E305" s="30">
        <v>0</v>
      </c>
      <c r="F305" s="30">
        <v>12</v>
      </c>
      <c r="G305" s="27">
        <v>2</v>
      </c>
      <c r="H305" s="165">
        <f t="shared" si="25"/>
        <v>1271</v>
      </c>
      <c r="J305" s="127">
        <f t="shared" si="26"/>
        <v>3</v>
      </c>
      <c r="K305" s="128">
        <f t="shared" si="27"/>
        <v>1</v>
      </c>
      <c r="L305" s="123" t="str">
        <f t="shared" si="14"/>
        <v>NO</v>
      </c>
      <c r="M305" s="140">
        <f t="shared" si="15"/>
        <v>0.31402199074364034</v>
      </c>
    </row>
    <row r="306" spans="1:13" s="123" customFormat="1" ht="24" customHeight="1">
      <c r="A306" s="26">
        <v>43202</v>
      </c>
      <c r="B306" s="135">
        <v>43202.861681134258</v>
      </c>
      <c r="C306" s="30" t="s">
        <v>36</v>
      </c>
      <c r="D306" s="30"/>
      <c r="E306" s="30">
        <v>7</v>
      </c>
      <c r="F306" s="30">
        <v>6</v>
      </c>
      <c r="G306" s="27">
        <v>0</v>
      </c>
      <c r="H306" s="165">
        <f t="shared" si="25"/>
        <v>1270</v>
      </c>
      <c r="J306" s="127">
        <f t="shared" si="26"/>
        <v>2</v>
      </c>
      <c r="K306" s="128">
        <f t="shared" si="27"/>
        <v>0</v>
      </c>
      <c r="L306" s="123" t="str">
        <f t="shared" si="14"/>
        <v>SI</v>
      </c>
      <c r="M306" s="140">
        <f t="shared" si="15"/>
        <v>0.86168113425810589</v>
      </c>
    </row>
    <row r="307" spans="1:13" s="123" customFormat="1" ht="24" customHeight="1">
      <c r="A307" s="26">
        <v>43202</v>
      </c>
      <c r="B307" s="135">
        <v>43202.761554166667</v>
      </c>
      <c r="C307" s="30" t="s">
        <v>24</v>
      </c>
      <c r="D307" s="30"/>
      <c r="E307" s="30">
        <v>0</v>
      </c>
      <c r="F307" s="30">
        <v>7</v>
      </c>
      <c r="G307" s="27">
        <v>0</v>
      </c>
      <c r="H307" s="165">
        <f t="shared" si="25"/>
        <v>1269</v>
      </c>
      <c r="J307" s="127">
        <f t="shared" si="26"/>
        <v>2</v>
      </c>
      <c r="K307" s="128">
        <f t="shared" si="27"/>
        <v>0</v>
      </c>
      <c r="L307" s="123" t="str">
        <f t="shared" si="14"/>
        <v>NO</v>
      </c>
      <c r="M307" s="140">
        <f t="shared" si="15"/>
        <v>0.761554166667338</v>
      </c>
    </row>
    <row r="308" spans="1:13" s="123" customFormat="1" ht="24" customHeight="1">
      <c r="A308" s="26">
        <v>43202</v>
      </c>
      <c r="B308" s="135">
        <v>43202.761458217596</v>
      </c>
      <c r="C308" s="30" t="s">
        <v>14</v>
      </c>
      <c r="D308" s="30"/>
      <c r="E308" s="30">
        <v>8</v>
      </c>
      <c r="F308" s="30">
        <v>0</v>
      </c>
      <c r="G308" s="27">
        <v>8</v>
      </c>
      <c r="H308" s="165">
        <f t="shared" si="25"/>
        <v>1268</v>
      </c>
      <c r="J308" s="127">
        <f t="shared" si="26"/>
        <v>0</v>
      </c>
      <c r="K308" s="128">
        <f t="shared" si="27"/>
        <v>4</v>
      </c>
      <c r="L308" s="123" t="str">
        <f t="shared" si="14"/>
        <v>NO</v>
      </c>
      <c r="M308" s="140">
        <f t="shared" si="15"/>
        <v>0.76145821759564569</v>
      </c>
    </row>
    <row r="309" spans="1:13" s="123" customFormat="1" ht="24" customHeight="1">
      <c r="A309" s="26">
        <v>43202</v>
      </c>
      <c r="B309" s="135">
        <v>43202.745753587966</v>
      </c>
      <c r="C309" s="30" t="s">
        <v>20</v>
      </c>
      <c r="D309" s="30"/>
      <c r="E309" s="30">
        <v>9</v>
      </c>
      <c r="F309" s="30">
        <v>13</v>
      </c>
      <c r="G309" s="27">
        <v>0</v>
      </c>
      <c r="H309" s="165">
        <f t="shared" si="25"/>
        <v>1267</v>
      </c>
      <c r="J309" s="127">
        <f t="shared" si="26"/>
        <v>4</v>
      </c>
      <c r="K309" s="128">
        <f t="shared" si="27"/>
        <v>0</v>
      </c>
      <c r="L309" s="123" t="str">
        <f t="shared" si="14"/>
        <v>NO</v>
      </c>
      <c r="M309" s="140">
        <f t="shared" si="15"/>
        <v>0.7457535879657371</v>
      </c>
    </row>
    <row r="310" spans="1:13" s="123" customFormat="1" ht="24" customHeight="1">
      <c r="A310" s="26">
        <v>43202</v>
      </c>
      <c r="B310" s="135">
        <v>43202.730323148149</v>
      </c>
      <c r="C310" s="30" t="s">
        <v>26</v>
      </c>
      <c r="D310" s="30"/>
      <c r="E310" s="30">
        <v>1</v>
      </c>
      <c r="F310" s="30">
        <v>0</v>
      </c>
      <c r="G310" s="27">
        <v>0</v>
      </c>
      <c r="H310" s="165">
        <f t="shared" si="25"/>
        <v>1266</v>
      </c>
      <c r="J310" s="127">
        <f t="shared" si="26"/>
        <v>0</v>
      </c>
      <c r="K310" s="128">
        <f t="shared" si="27"/>
        <v>0</v>
      </c>
      <c r="L310" s="123" t="str">
        <f t="shared" si="14"/>
        <v>NO</v>
      </c>
      <c r="M310" s="140">
        <f t="shared" si="15"/>
        <v>0.73032314814918209</v>
      </c>
    </row>
    <row r="311" spans="1:13" s="123" customFormat="1" ht="24" customHeight="1">
      <c r="A311" s="26">
        <v>43202</v>
      </c>
      <c r="B311" s="135">
        <v>43202.729165393517</v>
      </c>
      <c r="C311" s="30" t="s">
        <v>15</v>
      </c>
      <c r="D311" s="30"/>
      <c r="E311" s="30">
        <v>3</v>
      </c>
      <c r="F311" s="30">
        <v>16</v>
      </c>
      <c r="G311" s="27">
        <v>0</v>
      </c>
      <c r="H311" s="165">
        <f t="shared" si="25"/>
        <v>1265</v>
      </c>
      <c r="J311" s="127">
        <f t="shared" si="26"/>
        <v>4</v>
      </c>
      <c r="K311" s="128">
        <f t="shared" si="27"/>
        <v>0</v>
      </c>
      <c r="L311" s="123" t="str">
        <f t="shared" si="14"/>
        <v>NO</v>
      </c>
      <c r="M311" s="140">
        <f t="shared" si="15"/>
        <v>0.72916539351717802</v>
      </c>
    </row>
    <row r="312" spans="1:13" s="123" customFormat="1" ht="24" customHeight="1">
      <c r="A312" s="26">
        <v>43202</v>
      </c>
      <c r="B312" s="135">
        <v>43202.606815393519</v>
      </c>
      <c r="C312" s="30" t="s">
        <v>33</v>
      </c>
      <c r="D312" s="30"/>
      <c r="E312" s="30">
        <v>5</v>
      </c>
      <c r="F312" s="30">
        <v>6</v>
      </c>
      <c r="G312" s="27">
        <v>0</v>
      </c>
      <c r="H312" s="165">
        <f t="shared" si="25"/>
        <v>1264</v>
      </c>
      <c r="J312" s="127">
        <f t="shared" si="26"/>
        <v>2</v>
      </c>
      <c r="K312" s="128">
        <f t="shared" si="27"/>
        <v>0</v>
      </c>
      <c r="L312" s="123" t="str">
        <f t="shared" si="14"/>
        <v>NO</v>
      </c>
      <c r="M312" s="140">
        <f t="shared" si="15"/>
        <v>0.60681539351935498</v>
      </c>
    </row>
    <row r="313" spans="1:13" s="123" customFormat="1" ht="24" customHeight="1">
      <c r="A313" s="26">
        <v>43202</v>
      </c>
      <c r="B313" s="135">
        <v>43202.591889930554</v>
      </c>
      <c r="C313" s="30" t="s">
        <v>29</v>
      </c>
      <c r="D313" s="30"/>
      <c r="E313" s="30">
        <v>3</v>
      </c>
      <c r="F313" s="30">
        <v>0</v>
      </c>
      <c r="G313" s="27">
        <v>0</v>
      </c>
      <c r="H313" s="31">
        <f t="shared" si="25"/>
        <v>1263</v>
      </c>
      <c r="J313" s="127">
        <f t="shared" si="26"/>
        <v>0</v>
      </c>
      <c r="K313" s="128">
        <f t="shared" si="27"/>
        <v>0</v>
      </c>
      <c r="L313" s="123" t="str">
        <f t="shared" si="14"/>
        <v>NO</v>
      </c>
      <c r="M313" s="140">
        <f t="shared" si="15"/>
        <v>0.59188993055431638</v>
      </c>
    </row>
    <row r="314" spans="1:13" s="123" customFormat="1" ht="24" customHeight="1">
      <c r="A314" s="26">
        <v>43202</v>
      </c>
      <c r="B314" s="135">
        <v>43202.56707824074</v>
      </c>
      <c r="C314" s="30" t="s">
        <v>36</v>
      </c>
      <c r="D314" s="30"/>
      <c r="E314" s="30">
        <v>0</v>
      </c>
      <c r="F314" s="30">
        <v>7</v>
      </c>
      <c r="G314" s="27">
        <v>0</v>
      </c>
      <c r="H314" s="165">
        <f t="shared" si="25"/>
        <v>1262</v>
      </c>
      <c r="J314" s="127">
        <f t="shared" si="26"/>
        <v>2</v>
      </c>
      <c r="K314" s="128">
        <f t="shared" si="27"/>
        <v>0</v>
      </c>
      <c r="L314" s="123" t="str">
        <f t="shared" si="14"/>
        <v>NO</v>
      </c>
      <c r="M314" s="140">
        <f t="shared" si="15"/>
        <v>0.5670782407396473</v>
      </c>
    </row>
    <row r="315" spans="1:13" s="123" customFormat="1" ht="24" customHeight="1">
      <c r="A315" s="26">
        <v>43202</v>
      </c>
      <c r="B315" s="135">
        <v>43202.560986458331</v>
      </c>
      <c r="C315" s="30" t="s">
        <v>18</v>
      </c>
      <c r="D315" s="30"/>
      <c r="E315" s="30">
        <v>4</v>
      </c>
      <c r="F315" s="30">
        <v>7</v>
      </c>
      <c r="G315" s="27">
        <v>0</v>
      </c>
      <c r="H315" s="165">
        <f t="shared" si="25"/>
        <v>1261</v>
      </c>
      <c r="J315" s="127">
        <f t="shared" si="26"/>
        <v>2</v>
      </c>
      <c r="K315" s="128">
        <f t="shared" si="27"/>
        <v>0</v>
      </c>
      <c r="L315" s="123" t="str">
        <f t="shared" si="14"/>
        <v>NO</v>
      </c>
      <c r="M315" s="140">
        <f t="shared" si="15"/>
        <v>0.56098645833117189</v>
      </c>
    </row>
    <row r="316" spans="1:13" s="123" customFormat="1" ht="24" customHeight="1">
      <c r="A316" s="26">
        <v>43202</v>
      </c>
      <c r="B316" s="135">
        <v>43202.543114699074</v>
      </c>
      <c r="C316" s="30" t="s">
        <v>77</v>
      </c>
      <c r="D316" s="30"/>
      <c r="E316" s="30">
        <v>1</v>
      </c>
      <c r="F316" s="30">
        <v>7</v>
      </c>
      <c r="G316" s="27">
        <v>0</v>
      </c>
      <c r="H316" s="165">
        <f t="shared" si="25"/>
        <v>1260</v>
      </c>
      <c r="J316" s="127">
        <f t="shared" si="26"/>
        <v>2</v>
      </c>
      <c r="K316" s="128">
        <f t="shared" si="27"/>
        <v>0</v>
      </c>
      <c r="L316" s="123" t="str">
        <f t="shared" si="14"/>
        <v>NO</v>
      </c>
      <c r="M316" s="140">
        <f t="shared" si="15"/>
        <v>0.54311469907406718</v>
      </c>
    </row>
    <row r="317" spans="1:13" s="123" customFormat="1" ht="24" customHeight="1">
      <c r="A317" s="26">
        <v>43202</v>
      </c>
      <c r="B317" s="135">
        <v>43202.535889814812</v>
      </c>
      <c r="C317" s="30" t="s">
        <v>79</v>
      </c>
      <c r="D317" s="30"/>
      <c r="E317" s="30">
        <v>11</v>
      </c>
      <c r="F317" s="30">
        <v>0</v>
      </c>
      <c r="G317" s="27">
        <v>3</v>
      </c>
      <c r="H317" s="165">
        <f t="shared" si="25"/>
        <v>1259</v>
      </c>
      <c r="J317" s="127">
        <f t="shared" si="26"/>
        <v>0</v>
      </c>
      <c r="K317" s="128">
        <f t="shared" si="27"/>
        <v>2</v>
      </c>
      <c r="L317" s="123" t="str">
        <f t="shared" si="14"/>
        <v>NO</v>
      </c>
      <c r="M317" s="140">
        <f t="shared" si="15"/>
        <v>0.53588981481152587</v>
      </c>
    </row>
    <row r="318" spans="1:13" s="123" customFormat="1" ht="24" customHeight="1">
      <c r="A318" s="26">
        <v>43202</v>
      </c>
      <c r="B318" s="135">
        <v>43202.512241319448</v>
      </c>
      <c r="C318" s="30" t="s">
        <v>27</v>
      </c>
      <c r="D318" s="30"/>
      <c r="E318" s="30">
        <v>6</v>
      </c>
      <c r="F318" s="30">
        <v>18</v>
      </c>
      <c r="G318" s="27">
        <v>2</v>
      </c>
      <c r="H318" s="31">
        <f t="shared" si="25"/>
        <v>1258</v>
      </c>
      <c r="J318" s="127">
        <f t="shared" si="26"/>
        <v>5</v>
      </c>
      <c r="K318" s="128">
        <f t="shared" si="27"/>
        <v>1</v>
      </c>
      <c r="L318" s="123" t="str">
        <f t="shared" si="14"/>
        <v>NO</v>
      </c>
      <c r="M318" s="140">
        <f t="shared" si="15"/>
        <v>0.5122413194476394</v>
      </c>
    </row>
    <row r="319" spans="1:13" s="123" customFormat="1" ht="24" customHeight="1">
      <c r="A319" s="26">
        <v>43202</v>
      </c>
      <c r="B319" s="135">
        <v>43202.487652777774</v>
      </c>
      <c r="C319" s="30" t="s">
        <v>21</v>
      </c>
      <c r="D319" s="30"/>
      <c r="E319" s="30">
        <v>0</v>
      </c>
      <c r="F319" s="30">
        <v>8</v>
      </c>
      <c r="G319" s="27">
        <v>0</v>
      </c>
      <c r="H319" s="165">
        <f t="shared" si="25"/>
        <v>1257</v>
      </c>
      <c r="J319" s="127">
        <f t="shared" si="26"/>
        <v>2</v>
      </c>
      <c r="K319" s="128">
        <f t="shared" si="27"/>
        <v>0</v>
      </c>
      <c r="L319" s="123" t="str">
        <f t="shared" si="14"/>
        <v>NO</v>
      </c>
      <c r="M319" s="140">
        <f t="shared" si="15"/>
        <v>0.48765277777420124</v>
      </c>
    </row>
    <row r="320" spans="1:13" s="123" customFormat="1" ht="24" customHeight="1">
      <c r="A320" s="26">
        <v>43202</v>
      </c>
      <c r="B320" s="135">
        <v>43202.480996412036</v>
      </c>
      <c r="C320" s="30" t="s">
        <v>19</v>
      </c>
      <c r="D320" s="30"/>
      <c r="E320" s="30">
        <v>2</v>
      </c>
      <c r="F320" s="30">
        <v>8</v>
      </c>
      <c r="G320" s="27">
        <v>0</v>
      </c>
      <c r="H320" s="165">
        <f t="shared" si="25"/>
        <v>1256</v>
      </c>
      <c r="J320" s="127">
        <f t="shared" si="26"/>
        <v>2</v>
      </c>
      <c r="K320" s="128">
        <f t="shared" si="27"/>
        <v>0</v>
      </c>
      <c r="L320" s="123" t="str">
        <f t="shared" si="14"/>
        <v>NO</v>
      </c>
      <c r="M320" s="140">
        <f t="shared" si="15"/>
        <v>0.48099641203589272</v>
      </c>
    </row>
    <row r="321" spans="1:13" s="123" customFormat="1" ht="24" customHeight="1">
      <c r="A321" s="26">
        <v>43202</v>
      </c>
      <c r="B321" s="135">
        <v>43202.368658333333</v>
      </c>
      <c r="C321" s="30" t="s">
        <v>13</v>
      </c>
      <c r="D321" s="30"/>
      <c r="E321" s="30">
        <v>14</v>
      </c>
      <c r="F321" s="30">
        <v>40</v>
      </c>
      <c r="G321" s="27">
        <v>6</v>
      </c>
      <c r="H321" s="165">
        <f t="shared" si="25"/>
        <v>1255</v>
      </c>
      <c r="J321" s="127">
        <f t="shared" si="26"/>
        <v>10</v>
      </c>
      <c r="K321" s="128">
        <f t="shared" si="27"/>
        <v>3</v>
      </c>
      <c r="L321" s="123" t="str">
        <f t="shared" si="14"/>
        <v>NO</v>
      </c>
      <c r="M321" s="140">
        <f t="shared" si="15"/>
        <v>0.36865833333285991</v>
      </c>
    </row>
    <row r="322" spans="1:13" s="123" customFormat="1" ht="24" customHeight="1">
      <c r="A322" s="26">
        <v>43202</v>
      </c>
      <c r="B322" s="135">
        <v>43202.325195717596</v>
      </c>
      <c r="C322" s="30" t="s">
        <v>34</v>
      </c>
      <c r="D322" s="30"/>
      <c r="E322" s="30">
        <v>0</v>
      </c>
      <c r="F322" s="30">
        <v>12</v>
      </c>
      <c r="G322" s="27">
        <v>0</v>
      </c>
      <c r="H322" s="165">
        <f t="shared" si="25"/>
        <v>1254</v>
      </c>
      <c r="J322" s="127">
        <f t="shared" si="26"/>
        <v>3</v>
      </c>
      <c r="K322" s="128">
        <f t="shared" si="27"/>
        <v>0</v>
      </c>
      <c r="L322" s="123" t="str">
        <f t="shared" si="14"/>
        <v>NO</v>
      </c>
      <c r="M322" s="140">
        <f t="shared" si="15"/>
        <v>0.32519571759621613</v>
      </c>
    </row>
    <row r="323" spans="1:13" s="123" customFormat="1" ht="24" customHeight="1">
      <c r="A323" s="26">
        <v>43201</v>
      </c>
      <c r="B323" s="135">
        <v>43201.979524652779</v>
      </c>
      <c r="C323" s="30" t="s">
        <v>120</v>
      </c>
      <c r="D323" s="30"/>
      <c r="E323" s="30">
        <v>0</v>
      </c>
      <c r="F323" s="30">
        <v>5</v>
      </c>
      <c r="G323" s="27">
        <v>0</v>
      </c>
      <c r="H323" s="31">
        <f t="shared" si="25"/>
        <v>1253</v>
      </c>
      <c r="J323" s="127">
        <f t="shared" si="26"/>
        <v>2</v>
      </c>
      <c r="K323" s="128">
        <f t="shared" si="27"/>
        <v>0</v>
      </c>
      <c r="L323" s="123" t="str">
        <f t="shared" si="14"/>
        <v>SI</v>
      </c>
      <c r="M323" s="140">
        <f t="shared" si="15"/>
        <v>0.97952465277921874</v>
      </c>
    </row>
    <row r="324" spans="1:13" s="123" customFormat="1" ht="24" customHeight="1">
      <c r="A324" s="26">
        <v>43201</v>
      </c>
      <c r="B324" s="135">
        <v>43201.838831365741</v>
      </c>
      <c r="C324" s="30" t="s">
        <v>36</v>
      </c>
      <c r="D324" s="30"/>
      <c r="E324" s="30">
        <v>1</v>
      </c>
      <c r="F324" s="30">
        <v>12</v>
      </c>
      <c r="G324" s="27">
        <v>0</v>
      </c>
      <c r="H324" s="165">
        <f t="shared" si="25"/>
        <v>1252</v>
      </c>
      <c r="J324" s="127">
        <f t="shared" si="26"/>
        <v>3</v>
      </c>
      <c r="K324" s="128">
        <f t="shared" si="27"/>
        <v>0</v>
      </c>
      <c r="L324" s="123" t="str">
        <f t="shared" si="14"/>
        <v>SI</v>
      </c>
      <c r="M324" s="140">
        <f t="shared" si="15"/>
        <v>0.8388313657414983</v>
      </c>
    </row>
    <row r="325" spans="1:13" s="123" customFormat="1" ht="24" customHeight="1">
      <c r="A325" s="26">
        <v>43201</v>
      </c>
      <c r="B325" s="135">
        <v>43201.833581597224</v>
      </c>
      <c r="C325" s="30" t="s">
        <v>28</v>
      </c>
      <c r="D325" s="30"/>
      <c r="E325" s="30">
        <v>6</v>
      </c>
      <c r="F325" s="30">
        <v>24</v>
      </c>
      <c r="G325" s="27">
        <v>0</v>
      </c>
      <c r="H325" s="165">
        <f t="shared" si="25"/>
        <v>1251</v>
      </c>
      <c r="J325" s="127">
        <f t="shared" si="26"/>
        <v>6</v>
      </c>
      <c r="K325" s="128">
        <f t="shared" si="27"/>
        <v>0</v>
      </c>
      <c r="L325" s="123" t="str">
        <f t="shared" si="14"/>
        <v>SI</v>
      </c>
      <c r="M325" s="140">
        <f t="shared" si="15"/>
        <v>0.83358159722411074</v>
      </c>
    </row>
    <row r="326" spans="1:13" s="123" customFormat="1" ht="24" customHeight="1">
      <c r="A326" s="26">
        <v>43201</v>
      </c>
      <c r="B326" s="135">
        <v>43201.77669259259</v>
      </c>
      <c r="C326" s="30" t="s">
        <v>122</v>
      </c>
      <c r="D326" s="30"/>
      <c r="E326" s="30">
        <v>2</v>
      </c>
      <c r="F326" s="30">
        <v>0</v>
      </c>
      <c r="G326" s="27">
        <v>0</v>
      </c>
      <c r="H326" s="31">
        <f t="shared" si="25"/>
        <v>1250</v>
      </c>
      <c r="J326" s="127">
        <f t="shared" si="26"/>
        <v>0</v>
      </c>
      <c r="K326" s="128">
        <f t="shared" si="27"/>
        <v>0</v>
      </c>
      <c r="L326" s="123" t="str">
        <f t="shared" si="14"/>
        <v>NO</v>
      </c>
      <c r="M326" s="140">
        <f t="shared" si="15"/>
        <v>0.77669259258982493</v>
      </c>
    </row>
    <row r="327" spans="1:13" s="123" customFormat="1" ht="24" customHeight="1">
      <c r="A327" s="26">
        <v>43201</v>
      </c>
      <c r="B327" s="135">
        <v>43201.767907175927</v>
      </c>
      <c r="C327" s="30" t="s">
        <v>24</v>
      </c>
      <c r="D327" s="30"/>
      <c r="E327" s="30">
        <v>0</v>
      </c>
      <c r="F327" s="30">
        <v>2</v>
      </c>
      <c r="G327" s="27">
        <v>0</v>
      </c>
      <c r="H327" s="165">
        <f t="shared" si="25"/>
        <v>1249</v>
      </c>
      <c r="J327" s="127">
        <f t="shared" si="26"/>
        <v>1</v>
      </c>
      <c r="K327" s="128">
        <f t="shared" si="27"/>
        <v>0</v>
      </c>
      <c r="L327" s="123" t="str">
        <f t="shared" si="14"/>
        <v>NO</v>
      </c>
      <c r="M327" s="140">
        <f t="shared" si="15"/>
        <v>0.76790717592666624</v>
      </c>
    </row>
    <row r="328" spans="1:13" s="123" customFormat="1" ht="24" customHeight="1">
      <c r="A328" s="26">
        <v>43201</v>
      </c>
      <c r="B328" s="135">
        <v>43201.765456018518</v>
      </c>
      <c r="C328" s="30" t="s">
        <v>11</v>
      </c>
      <c r="D328" s="30"/>
      <c r="E328" s="30">
        <v>0</v>
      </c>
      <c r="F328" s="30">
        <v>14</v>
      </c>
      <c r="G328" s="27">
        <v>0</v>
      </c>
      <c r="H328" s="31">
        <f t="shared" si="25"/>
        <v>1248</v>
      </c>
      <c r="J328" s="127">
        <f t="shared" si="26"/>
        <v>4</v>
      </c>
      <c r="K328" s="128">
        <f t="shared" si="27"/>
        <v>0</v>
      </c>
      <c r="L328" s="123" t="str">
        <f t="shared" si="14"/>
        <v>NO</v>
      </c>
      <c r="M328" s="140">
        <f t="shared" si="15"/>
        <v>0.76545601851830725</v>
      </c>
    </row>
    <row r="329" spans="1:13" s="123" customFormat="1" ht="24" customHeight="1">
      <c r="A329" s="26">
        <v>43201</v>
      </c>
      <c r="B329" s="135">
        <v>43201.760095949074</v>
      </c>
      <c r="C329" s="30" t="s">
        <v>20</v>
      </c>
      <c r="D329" s="30"/>
      <c r="E329" s="30">
        <v>4</v>
      </c>
      <c r="F329" s="30">
        <v>9</v>
      </c>
      <c r="G329" s="27">
        <v>2</v>
      </c>
      <c r="H329" s="165">
        <f t="shared" si="25"/>
        <v>1247</v>
      </c>
      <c r="J329" s="127">
        <f t="shared" si="26"/>
        <v>3</v>
      </c>
      <c r="K329" s="128">
        <f t="shared" si="27"/>
        <v>1</v>
      </c>
      <c r="L329" s="123" t="str">
        <f t="shared" si="14"/>
        <v>NO</v>
      </c>
      <c r="M329" s="140">
        <f t="shared" si="15"/>
        <v>0.76009594907372957</v>
      </c>
    </row>
    <row r="330" spans="1:13" s="123" customFormat="1" ht="24" customHeight="1">
      <c r="A330" s="26">
        <v>43201</v>
      </c>
      <c r="B330" s="135">
        <v>43201.758955902777</v>
      </c>
      <c r="C330" s="30" t="s">
        <v>14</v>
      </c>
      <c r="D330" s="30"/>
      <c r="E330" s="30">
        <v>10</v>
      </c>
      <c r="F330" s="30">
        <v>10</v>
      </c>
      <c r="G330" s="27">
        <v>0</v>
      </c>
      <c r="H330" s="165">
        <f t="shared" si="25"/>
        <v>1246</v>
      </c>
      <c r="J330" s="127">
        <f t="shared" si="26"/>
        <v>3</v>
      </c>
      <c r="K330" s="128">
        <f t="shared" si="27"/>
        <v>0</v>
      </c>
      <c r="L330" s="123" t="str">
        <f t="shared" si="14"/>
        <v>NO</v>
      </c>
      <c r="M330" s="140">
        <f t="shared" si="15"/>
        <v>0.75895590277650626</v>
      </c>
    </row>
    <row r="331" spans="1:13" s="123" customFormat="1" ht="24" customHeight="1">
      <c r="A331" s="26">
        <v>43201</v>
      </c>
      <c r="B331" s="135">
        <v>43201.714024189816</v>
      </c>
      <c r="C331" s="30" t="s">
        <v>20</v>
      </c>
      <c r="D331" s="30"/>
      <c r="E331" s="30">
        <v>3</v>
      </c>
      <c r="F331" s="30">
        <v>9</v>
      </c>
      <c r="G331" s="27">
        <v>2</v>
      </c>
      <c r="H331" s="31">
        <f t="shared" si="25"/>
        <v>1245</v>
      </c>
      <c r="J331" s="127">
        <f t="shared" si="26"/>
        <v>3</v>
      </c>
      <c r="K331" s="128">
        <f t="shared" si="27"/>
        <v>1</v>
      </c>
      <c r="L331" s="123" t="str">
        <f t="shared" si="14"/>
        <v>NO</v>
      </c>
      <c r="M331" s="140">
        <f t="shared" si="15"/>
        <v>0.71402418981597293</v>
      </c>
    </row>
    <row r="332" spans="1:13" s="123" customFormat="1" ht="24" customHeight="1">
      <c r="A332" s="26">
        <v>43201</v>
      </c>
      <c r="B332" s="135">
        <v>43201.696412268517</v>
      </c>
      <c r="C332" s="30" t="s">
        <v>89</v>
      </c>
      <c r="D332" s="30"/>
      <c r="E332" s="30">
        <v>4</v>
      </c>
      <c r="F332" s="30">
        <v>10</v>
      </c>
      <c r="G332" s="27">
        <v>0</v>
      </c>
      <c r="H332" s="31">
        <f t="shared" si="25"/>
        <v>1244</v>
      </c>
      <c r="J332" s="127">
        <f t="shared" si="26"/>
        <v>3</v>
      </c>
      <c r="K332" s="128">
        <f t="shared" si="27"/>
        <v>0</v>
      </c>
      <c r="L332" s="123" t="str">
        <f t="shared" si="14"/>
        <v>NO</v>
      </c>
      <c r="M332" s="140">
        <f t="shared" si="15"/>
        <v>0.696412268516724</v>
      </c>
    </row>
    <row r="333" spans="1:13" s="123" customFormat="1" ht="24" customHeight="1">
      <c r="A333" s="26">
        <v>43201</v>
      </c>
      <c r="B333" s="135">
        <v>43201.581814351855</v>
      </c>
      <c r="C333" s="30" t="s">
        <v>36</v>
      </c>
      <c r="D333" s="30"/>
      <c r="E333" s="30">
        <v>1</v>
      </c>
      <c r="F333" s="30">
        <v>0</v>
      </c>
      <c r="G333" s="27">
        <v>0</v>
      </c>
      <c r="H333" s="165">
        <f t="shared" si="25"/>
        <v>1243</v>
      </c>
      <c r="J333" s="127">
        <f t="shared" si="26"/>
        <v>0</v>
      </c>
      <c r="K333" s="128">
        <f t="shared" si="27"/>
        <v>0</v>
      </c>
      <c r="L333" s="123" t="str">
        <f t="shared" si="14"/>
        <v>NO</v>
      </c>
      <c r="M333" s="140">
        <f t="shared" si="15"/>
        <v>0.58181435185542796</v>
      </c>
    </row>
    <row r="334" spans="1:13" s="123" customFormat="1" ht="24" customHeight="1">
      <c r="A334" s="26">
        <v>43201</v>
      </c>
      <c r="B334" s="135">
        <v>43201.57810150463</v>
      </c>
      <c r="C334" s="30" t="s">
        <v>19</v>
      </c>
      <c r="D334" s="30"/>
      <c r="E334" s="30">
        <v>1</v>
      </c>
      <c r="F334" s="30">
        <v>2</v>
      </c>
      <c r="G334" s="27">
        <v>2</v>
      </c>
      <c r="H334" s="165">
        <f t="shared" ref="H334:H365" si="28">+H335+1</f>
        <v>1242</v>
      </c>
      <c r="J334" s="127">
        <f t="shared" ref="J334:J365" si="29">+ROUNDUP(F334/4,0)</f>
        <v>1</v>
      </c>
      <c r="K334" s="128">
        <f t="shared" ref="K334:K365" si="30">+ROUNDUP(G334/2,0)</f>
        <v>1</v>
      </c>
      <c r="L334" s="123" t="str">
        <f t="shared" si="14"/>
        <v>NO</v>
      </c>
      <c r="M334" s="140">
        <f t="shared" si="15"/>
        <v>0.57810150463046739</v>
      </c>
    </row>
    <row r="335" spans="1:13" s="123" customFormat="1" ht="24" customHeight="1">
      <c r="A335" s="26">
        <v>43201</v>
      </c>
      <c r="B335" s="135">
        <v>43201.577315856484</v>
      </c>
      <c r="C335" s="30" t="s">
        <v>36</v>
      </c>
      <c r="D335" s="30"/>
      <c r="E335" s="30">
        <v>0</v>
      </c>
      <c r="F335" s="30">
        <v>8</v>
      </c>
      <c r="G335" s="27">
        <v>0</v>
      </c>
      <c r="H335" s="165">
        <f t="shared" si="28"/>
        <v>1241</v>
      </c>
      <c r="J335" s="127">
        <f t="shared" si="29"/>
        <v>2</v>
      </c>
      <c r="K335" s="128">
        <f t="shared" si="30"/>
        <v>0</v>
      </c>
      <c r="L335" s="123" t="str">
        <f t="shared" si="14"/>
        <v>NO</v>
      </c>
      <c r="M335" s="140">
        <f t="shared" si="15"/>
        <v>0.57731585648434702</v>
      </c>
    </row>
    <row r="336" spans="1:13" s="123" customFormat="1" ht="24" customHeight="1">
      <c r="A336" s="26">
        <v>43201</v>
      </c>
      <c r="B336" s="135">
        <v>43201.570172222222</v>
      </c>
      <c r="C336" s="30" t="s">
        <v>18</v>
      </c>
      <c r="D336" s="30"/>
      <c r="E336" s="30">
        <v>1</v>
      </c>
      <c r="F336" s="30">
        <v>2</v>
      </c>
      <c r="G336" s="27">
        <v>2</v>
      </c>
      <c r="H336" s="165">
        <f t="shared" si="28"/>
        <v>1240</v>
      </c>
      <c r="J336" s="127">
        <f t="shared" si="29"/>
        <v>1</v>
      </c>
      <c r="K336" s="128">
        <f t="shared" si="30"/>
        <v>1</v>
      </c>
      <c r="L336" s="123" t="str">
        <f t="shared" si="14"/>
        <v>NO</v>
      </c>
      <c r="M336" s="140">
        <f t="shared" si="15"/>
        <v>0.5701722222220269</v>
      </c>
    </row>
    <row r="337" spans="1:13" s="123" customFormat="1" ht="24" customHeight="1">
      <c r="A337" s="26">
        <v>43201</v>
      </c>
      <c r="B337" s="135">
        <v>43201.556028472223</v>
      </c>
      <c r="C337" s="30" t="s">
        <v>76</v>
      </c>
      <c r="D337" s="30"/>
      <c r="E337" s="30">
        <v>13</v>
      </c>
      <c r="F337" s="30">
        <v>0</v>
      </c>
      <c r="G337" s="27">
        <v>0</v>
      </c>
      <c r="H337" s="165">
        <f t="shared" si="28"/>
        <v>1239</v>
      </c>
      <c r="J337" s="127">
        <f t="shared" si="29"/>
        <v>0</v>
      </c>
      <c r="K337" s="128">
        <f t="shared" si="30"/>
        <v>0</v>
      </c>
      <c r="L337" s="123" t="str">
        <f t="shared" si="14"/>
        <v>NO</v>
      </c>
      <c r="M337" s="140">
        <f t="shared" si="15"/>
        <v>0.55602847222326091</v>
      </c>
    </row>
    <row r="338" spans="1:13" s="123" customFormat="1" ht="24" customHeight="1">
      <c r="A338" s="26">
        <v>43201</v>
      </c>
      <c r="B338" s="135">
        <v>43201.531803124999</v>
      </c>
      <c r="C338" s="30" t="s">
        <v>79</v>
      </c>
      <c r="D338" s="30"/>
      <c r="E338" s="30">
        <v>4</v>
      </c>
      <c r="F338" s="30">
        <v>0</v>
      </c>
      <c r="G338" s="27">
        <v>7</v>
      </c>
      <c r="H338" s="31">
        <f t="shared" si="28"/>
        <v>1238</v>
      </c>
      <c r="J338" s="127">
        <f t="shared" si="29"/>
        <v>0</v>
      </c>
      <c r="K338" s="128">
        <f t="shared" si="30"/>
        <v>4</v>
      </c>
      <c r="L338" s="123" t="str">
        <f t="shared" si="14"/>
        <v>NO</v>
      </c>
      <c r="M338" s="140">
        <f t="shared" si="15"/>
        <v>0.53180312499898719</v>
      </c>
    </row>
    <row r="339" spans="1:13" s="123" customFormat="1" ht="24" customHeight="1">
      <c r="A339" s="26">
        <v>43201</v>
      </c>
      <c r="B339" s="135">
        <v>43201.524732523147</v>
      </c>
      <c r="C339" s="30" t="s">
        <v>27</v>
      </c>
      <c r="D339" s="30"/>
      <c r="E339" s="30">
        <v>6</v>
      </c>
      <c r="F339" s="30">
        <v>17</v>
      </c>
      <c r="G339" s="27">
        <v>5</v>
      </c>
      <c r="H339" s="31">
        <f t="shared" si="28"/>
        <v>1237</v>
      </c>
      <c r="J339" s="127">
        <f t="shared" si="29"/>
        <v>5</v>
      </c>
      <c r="K339" s="128">
        <f t="shared" si="30"/>
        <v>3</v>
      </c>
      <c r="L339" s="123" t="str">
        <f t="shared" si="14"/>
        <v>NO</v>
      </c>
      <c r="M339" s="140">
        <f t="shared" si="15"/>
        <v>0.52473252314666752</v>
      </c>
    </row>
    <row r="340" spans="1:13" s="123" customFormat="1" ht="24" customHeight="1">
      <c r="A340" s="26">
        <v>43201</v>
      </c>
      <c r="B340" s="135">
        <v>43201.491029050929</v>
      </c>
      <c r="C340" s="30" t="s">
        <v>33</v>
      </c>
      <c r="D340" s="30"/>
      <c r="E340" s="30">
        <v>10</v>
      </c>
      <c r="F340" s="30">
        <v>6</v>
      </c>
      <c r="G340" s="27">
        <v>0</v>
      </c>
      <c r="H340" s="165">
        <f t="shared" si="28"/>
        <v>1236</v>
      </c>
      <c r="J340" s="127">
        <f t="shared" si="29"/>
        <v>2</v>
      </c>
      <c r="K340" s="128">
        <f t="shared" si="30"/>
        <v>0</v>
      </c>
      <c r="L340" s="123" t="str">
        <f t="shared" si="14"/>
        <v>NO</v>
      </c>
      <c r="M340" s="140">
        <f t="shared" si="15"/>
        <v>0.49102905092877336</v>
      </c>
    </row>
    <row r="341" spans="1:13" s="123" customFormat="1" ht="24" customHeight="1">
      <c r="A341" s="26">
        <v>43201</v>
      </c>
      <c r="B341" s="135">
        <v>43201.378502662039</v>
      </c>
      <c r="C341" s="30" t="s">
        <v>13</v>
      </c>
      <c r="D341" s="30"/>
      <c r="E341" s="30">
        <v>0</v>
      </c>
      <c r="F341" s="30">
        <v>0</v>
      </c>
      <c r="G341" s="27">
        <v>2</v>
      </c>
      <c r="H341" s="165">
        <f t="shared" si="28"/>
        <v>1235</v>
      </c>
      <c r="J341" s="127">
        <f t="shared" si="29"/>
        <v>0</v>
      </c>
      <c r="K341" s="128">
        <f t="shared" si="30"/>
        <v>1</v>
      </c>
      <c r="L341" s="123" t="str">
        <f t="shared" si="14"/>
        <v>NO</v>
      </c>
      <c r="M341" s="140">
        <f t="shared" si="15"/>
        <v>0.37850266203895444</v>
      </c>
    </row>
    <row r="342" spans="1:13" s="123" customFormat="1" ht="24" customHeight="1">
      <c r="A342" s="26">
        <v>43201</v>
      </c>
      <c r="B342" s="135">
        <v>43201.378046296297</v>
      </c>
      <c r="C342" s="30" t="s">
        <v>13</v>
      </c>
      <c r="D342" s="30"/>
      <c r="E342" s="30">
        <v>15</v>
      </c>
      <c r="F342" s="30">
        <v>32</v>
      </c>
      <c r="G342" s="27">
        <v>4</v>
      </c>
      <c r="H342" s="165">
        <f t="shared" si="28"/>
        <v>1234</v>
      </c>
      <c r="J342" s="127">
        <f t="shared" si="29"/>
        <v>8</v>
      </c>
      <c r="K342" s="128">
        <f t="shared" si="30"/>
        <v>2</v>
      </c>
      <c r="L342" s="123" t="str">
        <f t="shared" si="14"/>
        <v>NO</v>
      </c>
      <c r="M342" s="140">
        <f t="shared" si="15"/>
        <v>0.37804629629681585</v>
      </c>
    </row>
    <row r="343" spans="1:13" s="123" customFormat="1" ht="24" customHeight="1">
      <c r="A343" s="26">
        <v>43201</v>
      </c>
      <c r="B343" s="135">
        <v>43201.325165740738</v>
      </c>
      <c r="C343" s="30" t="s">
        <v>13</v>
      </c>
      <c r="D343" s="30"/>
      <c r="E343" s="30">
        <v>2</v>
      </c>
      <c r="F343" s="30">
        <v>0</v>
      </c>
      <c r="G343" s="27">
        <v>0</v>
      </c>
      <c r="H343" s="165">
        <f t="shared" si="28"/>
        <v>1233</v>
      </c>
      <c r="J343" s="127">
        <f t="shared" si="29"/>
        <v>0</v>
      </c>
      <c r="K343" s="128">
        <f t="shared" si="30"/>
        <v>0</v>
      </c>
      <c r="L343" s="123" t="str">
        <f t="shared" si="14"/>
        <v>NO</v>
      </c>
      <c r="M343" s="140">
        <f t="shared" si="15"/>
        <v>0.32516574073815718</v>
      </c>
    </row>
    <row r="344" spans="1:13" s="123" customFormat="1" ht="24" customHeight="1">
      <c r="A344" s="26">
        <v>43201</v>
      </c>
      <c r="B344" s="135">
        <v>43201.317985300928</v>
      </c>
      <c r="C344" s="30" t="s">
        <v>34</v>
      </c>
      <c r="D344" s="30"/>
      <c r="E344" s="30">
        <v>4</v>
      </c>
      <c r="F344" s="30">
        <v>16</v>
      </c>
      <c r="G344" s="27">
        <v>0</v>
      </c>
      <c r="H344" s="165">
        <f t="shared" si="28"/>
        <v>1232</v>
      </c>
      <c r="J344" s="127">
        <f t="shared" si="29"/>
        <v>4</v>
      </c>
      <c r="K344" s="128">
        <f t="shared" si="30"/>
        <v>0</v>
      </c>
      <c r="L344" s="123" t="str">
        <f t="shared" si="14"/>
        <v>NO</v>
      </c>
      <c r="M344" s="140">
        <f t="shared" si="15"/>
        <v>0.31798530092783039</v>
      </c>
    </row>
    <row r="345" spans="1:13" s="123" customFormat="1" ht="24" customHeight="1">
      <c r="A345" s="26">
        <v>43200</v>
      </c>
      <c r="B345" s="135">
        <v>43200.840521990744</v>
      </c>
      <c r="C345" s="30" t="s">
        <v>36</v>
      </c>
      <c r="D345" s="30"/>
      <c r="E345" s="30">
        <v>1</v>
      </c>
      <c r="F345" s="30">
        <v>6</v>
      </c>
      <c r="G345" s="27">
        <v>0</v>
      </c>
      <c r="H345" s="165">
        <f t="shared" si="28"/>
        <v>1231</v>
      </c>
      <c r="J345" s="127">
        <f t="shared" si="29"/>
        <v>2</v>
      </c>
      <c r="K345" s="128">
        <f t="shared" si="30"/>
        <v>0</v>
      </c>
      <c r="L345" s="123" t="str">
        <f t="shared" si="14"/>
        <v>SI</v>
      </c>
      <c r="M345" s="140">
        <f t="shared" si="15"/>
        <v>0.84052199074358214</v>
      </c>
    </row>
    <row r="346" spans="1:13" s="123" customFormat="1" ht="24" customHeight="1">
      <c r="A346" s="26">
        <v>43200</v>
      </c>
      <c r="B346" s="135">
        <v>43200.796669444448</v>
      </c>
      <c r="C346" s="30" t="s">
        <v>89</v>
      </c>
      <c r="D346" s="30"/>
      <c r="E346" s="30">
        <v>0</v>
      </c>
      <c r="F346" s="30">
        <v>5</v>
      </c>
      <c r="G346" s="27">
        <v>0</v>
      </c>
      <c r="H346" s="31">
        <f t="shared" si="28"/>
        <v>1230</v>
      </c>
      <c r="J346" s="127">
        <f t="shared" si="29"/>
        <v>2</v>
      </c>
      <c r="K346" s="128">
        <f t="shared" si="30"/>
        <v>0</v>
      </c>
      <c r="L346" s="123" t="str">
        <f t="shared" si="14"/>
        <v>SI</v>
      </c>
      <c r="M346" s="140">
        <f t="shared" si="15"/>
        <v>0.79666944444761612</v>
      </c>
    </row>
    <row r="347" spans="1:13" s="123" customFormat="1" ht="24" customHeight="1">
      <c r="A347" s="26">
        <v>43200</v>
      </c>
      <c r="B347" s="135">
        <v>43200.701196180555</v>
      </c>
      <c r="C347" s="30" t="s">
        <v>24</v>
      </c>
      <c r="D347" s="30"/>
      <c r="E347" s="30">
        <v>5</v>
      </c>
      <c r="F347" s="30">
        <v>8</v>
      </c>
      <c r="G347" s="27">
        <v>0</v>
      </c>
      <c r="H347" s="165">
        <f t="shared" si="28"/>
        <v>1229</v>
      </c>
      <c r="J347" s="127">
        <f t="shared" si="29"/>
        <v>2</v>
      </c>
      <c r="K347" s="128">
        <f t="shared" si="30"/>
        <v>0</v>
      </c>
      <c r="L347" s="123" t="str">
        <f t="shared" si="14"/>
        <v>NO</v>
      </c>
      <c r="M347" s="140">
        <f t="shared" si="15"/>
        <v>0.70119618055468891</v>
      </c>
    </row>
    <row r="348" spans="1:13" s="123" customFormat="1" ht="24" customHeight="1">
      <c r="A348" s="26">
        <v>43200</v>
      </c>
      <c r="B348" s="135">
        <v>43200.694339814814</v>
      </c>
      <c r="C348" s="30" t="s">
        <v>20</v>
      </c>
      <c r="D348" s="30"/>
      <c r="E348" s="30">
        <v>8</v>
      </c>
      <c r="F348" s="30">
        <v>18</v>
      </c>
      <c r="G348" s="27">
        <v>2</v>
      </c>
      <c r="H348" s="165">
        <f t="shared" si="28"/>
        <v>1228</v>
      </c>
      <c r="J348" s="127">
        <f t="shared" si="29"/>
        <v>5</v>
      </c>
      <c r="K348" s="128">
        <f t="shared" si="30"/>
        <v>1</v>
      </c>
      <c r="L348" s="123" t="str">
        <f t="shared" si="14"/>
        <v>NO</v>
      </c>
      <c r="M348" s="140">
        <f t="shared" si="15"/>
        <v>0.69433981481415685</v>
      </c>
    </row>
    <row r="349" spans="1:13" s="123" customFormat="1" ht="24" customHeight="1">
      <c r="A349" s="26">
        <v>43200</v>
      </c>
      <c r="B349" s="135">
        <v>43200.637171180555</v>
      </c>
      <c r="C349" s="30" t="s">
        <v>33</v>
      </c>
      <c r="D349" s="30"/>
      <c r="E349" s="30">
        <v>4</v>
      </c>
      <c r="F349" s="30">
        <v>7</v>
      </c>
      <c r="G349" s="27">
        <v>0</v>
      </c>
      <c r="H349" s="165">
        <f t="shared" si="28"/>
        <v>1227</v>
      </c>
      <c r="J349" s="127">
        <f t="shared" si="29"/>
        <v>2</v>
      </c>
      <c r="K349" s="128">
        <f t="shared" si="30"/>
        <v>0</v>
      </c>
      <c r="L349" s="123" t="str">
        <f t="shared" si="14"/>
        <v>NO</v>
      </c>
      <c r="M349" s="140">
        <f t="shared" si="15"/>
        <v>0.63717118055501487</v>
      </c>
    </row>
    <row r="350" spans="1:13" s="123" customFormat="1" ht="24" customHeight="1">
      <c r="A350" s="26">
        <v>43200</v>
      </c>
      <c r="B350" s="135">
        <v>43200.632700925926</v>
      </c>
      <c r="C350" s="30" t="s">
        <v>14</v>
      </c>
      <c r="D350" s="30"/>
      <c r="E350" s="30">
        <v>10</v>
      </c>
      <c r="F350" s="30">
        <v>20</v>
      </c>
      <c r="G350" s="27">
        <v>4</v>
      </c>
      <c r="H350" s="165">
        <f t="shared" si="28"/>
        <v>1226</v>
      </c>
      <c r="J350" s="127">
        <f t="shared" si="29"/>
        <v>5</v>
      </c>
      <c r="K350" s="128">
        <f t="shared" si="30"/>
        <v>2</v>
      </c>
      <c r="L350" s="123" t="str">
        <f t="shared" si="14"/>
        <v>NO</v>
      </c>
      <c r="M350" s="140">
        <f t="shared" si="15"/>
        <v>0.63270092592574656</v>
      </c>
    </row>
    <row r="351" spans="1:13" s="123" customFormat="1" ht="24" customHeight="1">
      <c r="A351" s="26">
        <v>43200</v>
      </c>
      <c r="B351" s="135">
        <v>43200.598143518517</v>
      </c>
      <c r="C351" s="30" t="s">
        <v>113</v>
      </c>
      <c r="D351" s="30"/>
      <c r="E351" s="30">
        <v>1</v>
      </c>
      <c r="F351" s="30">
        <v>0</v>
      </c>
      <c r="G351" s="27">
        <v>0</v>
      </c>
      <c r="H351" s="31">
        <f t="shared" si="28"/>
        <v>1225</v>
      </c>
      <c r="J351" s="127">
        <f t="shared" si="29"/>
        <v>0</v>
      </c>
      <c r="K351" s="128">
        <f t="shared" si="30"/>
        <v>0</v>
      </c>
      <c r="L351" s="123" t="str">
        <f t="shared" si="14"/>
        <v>NO</v>
      </c>
      <c r="M351" s="140">
        <f t="shared" si="15"/>
        <v>0.59814351851673564</v>
      </c>
    </row>
    <row r="352" spans="1:13" s="123" customFormat="1" ht="24" customHeight="1">
      <c r="A352" s="26">
        <v>43200</v>
      </c>
      <c r="B352" s="135">
        <v>43200.581653472225</v>
      </c>
      <c r="C352" s="30" t="s">
        <v>18</v>
      </c>
      <c r="D352" s="30"/>
      <c r="E352" s="30">
        <v>1</v>
      </c>
      <c r="F352" s="30">
        <v>9</v>
      </c>
      <c r="G352" s="27">
        <v>0</v>
      </c>
      <c r="H352" s="165">
        <f t="shared" si="28"/>
        <v>1224</v>
      </c>
      <c r="J352" s="127">
        <f t="shared" si="29"/>
        <v>3</v>
      </c>
      <c r="K352" s="128">
        <f t="shared" si="30"/>
        <v>0</v>
      </c>
      <c r="L352" s="123" t="str">
        <f t="shared" si="14"/>
        <v>NO</v>
      </c>
      <c r="M352" s="140">
        <f t="shared" si="15"/>
        <v>0.58165347222529817</v>
      </c>
    </row>
    <row r="353" spans="1:13" s="123" customFormat="1" ht="24" customHeight="1">
      <c r="A353" s="26">
        <v>43200</v>
      </c>
      <c r="B353" s="135">
        <v>43200.57513946759</v>
      </c>
      <c r="C353" s="30" t="s">
        <v>27</v>
      </c>
      <c r="D353" s="30"/>
      <c r="E353" s="30">
        <v>9</v>
      </c>
      <c r="F353" s="30">
        <v>14</v>
      </c>
      <c r="G353" s="27">
        <v>4</v>
      </c>
      <c r="H353" s="31">
        <f t="shared" si="28"/>
        <v>1223</v>
      </c>
      <c r="J353" s="127">
        <f t="shared" si="29"/>
        <v>4</v>
      </c>
      <c r="K353" s="128">
        <f t="shared" si="30"/>
        <v>2</v>
      </c>
      <c r="L353" s="123" t="str">
        <f t="shared" si="14"/>
        <v>NO</v>
      </c>
      <c r="M353" s="140">
        <f t="shared" si="15"/>
        <v>0.57513946758990642</v>
      </c>
    </row>
    <row r="354" spans="1:13" s="123" customFormat="1" ht="24" customHeight="1">
      <c r="A354" s="26">
        <v>43200</v>
      </c>
      <c r="B354" s="135">
        <v>43200.541607638886</v>
      </c>
      <c r="C354" s="30" t="s">
        <v>19</v>
      </c>
      <c r="D354" s="30"/>
      <c r="E354" s="30">
        <v>0</v>
      </c>
      <c r="F354" s="30">
        <v>6</v>
      </c>
      <c r="G354" s="27">
        <v>0</v>
      </c>
      <c r="H354" s="165">
        <f t="shared" si="28"/>
        <v>1222</v>
      </c>
      <c r="J354" s="127">
        <f t="shared" si="29"/>
        <v>2</v>
      </c>
      <c r="K354" s="128">
        <f t="shared" si="30"/>
        <v>0</v>
      </c>
      <c r="L354" s="123" t="str">
        <f t="shared" si="14"/>
        <v>NO</v>
      </c>
      <c r="M354" s="140">
        <f t="shared" si="15"/>
        <v>0.54160763888648944</v>
      </c>
    </row>
    <row r="355" spans="1:13" s="123" customFormat="1" ht="24" customHeight="1">
      <c r="A355" s="26">
        <v>43200</v>
      </c>
      <c r="B355" s="135">
        <v>43200.535377777778</v>
      </c>
      <c r="C355" s="30" t="s">
        <v>21</v>
      </c>
      <c r="D355" s="30"/>
      <c r="E355" s="30">
        <v>0</v>
      </c>
      <c r="F355" s="30">
        <v>6</v>
      </c>
      <c r="G355" s="27">
        <v>0</v>
      </c>
      <c r="H355" s="165">
        <f t="shared" si="28"/>
        <v>1221</v>
      </c>
      <c r="J355" s="127">
        <f t="shared" si="29"/>
        <v>2</v>
      </c>
      <c r="K355" s="128">
        <f t="shared" si="30"/>
        <v>0</v>
      </c>
      <c r="L355" s="123" t="str">
        <f t="shared" si="14"/>
        <v>NO</v>
      </c>
      <c r="M355" s="140">
        <f t="shared" si="15"/>
        <v>0.53537777777819429</v>
      </c>
    </row>
    <row r="356" spans="1:13" s="123" customFormat="1" ht="24" customHeight="1">
      <c r="A356" s="26">
        <v>43200</v>
      </c>
      <c r="B356" s="135">
        <v>43200.531168634261</v>
      </c>
      <c r="C356" s="30" t="s">
        <v>79</v>
      </c>
      <c r="D356" s="30"/>
      <c r="E356" s="30">
        <v>5</v>
      </c>
      <c r="F356" s="30">
        <v>0</v>
      </c>
      <c r="G356" s="27">
        <v>11</v>
      </c>
      <c r="H356" s="165">
        <f t="shared" si="28"/>
        <v>1220</v>
      </c>
      <c r="J356" s="127">
        <f t="shared" si="29"/>
        <v>0</v>
      </c>
      <c r="K356" s="128">
        <f t="shared" si="30"/>
        <v>6</v>
      </c>
      <c r="L356" s="123" t="str">
        <f t="shared" si="14"/>
        <v>NO</v>
      </c>
      <c r="M356" s="140">
        <f t="shared" si="15"/>
        <v>0.53116863426112104</v>
      </c>
    </row>
    <row r="357" spans="1:13" s="123" customFormat="1" ht="24" customHeight="1">
      <c r="A357" s="26">
        <v>43200</v>
      </c>
      <c r="B357" s="135">
        <v>43200.473551388888</v>
      </c>
      <c r="C357" s="30" t="s">
        <v>36</v>
      </c>
      <c r="D357" s="30"/>
      <c r="E357" s="30">
        <v>1</v>
      </c>
      <c r="F357" s="30">
        <v>14</v>
      </c>
      <c r="G357" s="27">
        <v>0</v>
      </c>
      <c r="H357" s="165">
        <f t="shared" si="28"/>
        <v>1219</v>
      </c>
      <c r="J357" s="127">
        <f t="shared" si="29"/>
        <v>4</v>
      </c>
      <c r="K357" s="128">
        <f t="shared" si="30"/>
        <v>0</v>
      </c>
      <c r="L357" s="123" t="str">
        <f t="shared" si="14"/>
        <v>NO</v>
      </c>
      <c r="M357" s="140">
        <f t="shared" si="15"/>
        <v>0.47355138888815418</v>
      </c>
    </row>
    <row r="358" spans="1:13" s="123" customFormat="1" ht="24" customHeight="1">
      <c r="A358" s="26">
        <v>43200</v>
      </c>
      <c r="B358" s="135">
        <v>43200.434775925925</v>
      </c>
      <c r="C358" s="30" t="s">
        <v>119</v>
      </c>
      <c r="D358" s="30"/>
      <c r="E358" s="30">
        <v>2</v>
      </c>
      <c r="F358" s="30">
        <v>0</v>
      </c>
      <c r="G358" s="27">
        <v>0</v>
      </c>
      <c r="H358" s="31">
        <f t="shared" si="28"/>
        <v>1218</v>
      </c>
      <c r="J358" s="127">
        <f t="shared" si="29"/>
        <v>0</v>
      </c>
      <c r="K358" s="128">
        <f t="shared" si="30"/>
        <v>0</v>
      </c>
      <c r="L358" s="123" t="str">
        <f t="shared" si="14"/>
        <v>NO</v>
      </c>
      <c r="M358" s="140">
        <f t="shared" si="15"/>
        <v>0.43477592592535075</v>
      </c>
    </row>
    <row r="359" spans="1:13" s="123" customFormat="1" ht="24" customHeight="1">
      <c r="A359" s="26">
        <v>43200</v>
      </c>
      <c r="B359" s="135">
        <v>43200.370709490744</v>
      </c>
      <c r="C359" s="30" t="s">
        <v>13</v>
      </c>
      <c r="D359" s="30"/>
      <c r="E359" s="30">
        <v>8</v>
      </c>
      <c r="F359" s="30">
        <v>48</v>
      </c>
      <c r="G359" s="27">
        <v>4</v>
      </c>
      <c r="H359" s="165">
        <f t="shared" si="28"/>
        <v>1217</v>
      </c>
      <c r="J359" s="127">
        <f t="shared" si="29"/>
        <v>12</v>
      </c>
      <c r="K359" s="128">
        <f t="shared" si="30"/>
        <v>2</v>
      </c>
      <c r="L359" s="123" t="str">
        <f t="shared" si="14"/>
        <v>NO</v>
      </c>
      <c r="M359" s="140">
        <f t="shared" si="15"/>
        <v>0.3707094907440478</v>
      </c>
    </row>
    <row r="360" spans="1:13" s="123" customFormat="1" ht="24" customHeight="1">
      <c r="A360" s="26">
        <v>43200</v>
      </c>
      <c r="B360" s="135">
        <v>43200.325328819446</v>
      </c>
      <c r="C360" s="30" t="s">
        <v>34</v>
      </c>
      <c r="D360" s="30"/>
      <c r="E360" s="30">
        <v>3</v>
      </c>
      <c r="F360" s="30">
        <v>16</v>
      </c>
      <c r="G360" s="27">
        <v>0</v>
      </c>
      <c r="H360" s="165">
        <f t="shared" si="28"/>
        <v>1216</v>
      </c>
      <c r="J360" s="127">
        <f t="shared" si="29"/>
        <v>4</v>
      </c>
      <c r="K360" s="128">
        <f t="shared" si="30"/>
        <v>0</v>
      </c>
      <c r="L360" s="123" t="str">
        <f t="shared" si="14"/>
        <v>NO</v>
      </c>
      <c r="M360" s="140">
        <f t="shared" si="15"/>
        <v>0.32532881944644032</v>
      </c>
    </row>
    <row r="361" spans="1:13" s="123" customFormat="1" ht="24" customHeight="1">
      <c r="A361" s="26">
        <v>43200</v>
      </c>
      <c r="B361" s="135">
        <v>43200.045118287038</v>
      </c>
      <c r="C361" s="30" t="s">
        <v>13</v>
      </c>
      <c r="D361" s="30"/>
      <c r="E361" s="30">
        <v>3</v>
      </c>
      <c r="F361" s="30">
        <v>0</v>
      </c>
      <c r="G361" s="27">
        <v>0</v>
      </c>
      <c r="H361" s="165">
        <f t="shared" si="28"/>
        <v>1215</v>
      </c>
      <c r="J361" s="127">
        <f t="shared" si="29"/>
        <v>0</v>
      </c>
      <c r="K361" s="128">
        <f t="shared" si="30"/>
        <v>0</v>
      </c>
      <c r="L361" s="123" t="str">
        <f t="shared" si="14"/>
        <v>NO</v>
      </c>
      <c r="M361" s="140">
        <f t="shared" si="15"/>
        <v>4.5118287038349081E-2</v>
      </c>
    </row>
    <row r="362" spans="1:13" s="123" customFormat="1" ht="24" customHeight="1">
      <c r="A362" s="26">
        <v>43199</v>
      </c>
      <c r="B362" s="135">
        <v>43199.898956134261</v>
      </c>
      <c r="C362" s="30" t="s">
        <v>36</v>
      </c>
      <c r="D362" s="30"/>
      <c r="E362" s="30">
        <v>3</v>
      </c>
      <c r="F362" s="30">
        <v>17</v>
      </c>
      <c r="G362" s="27">
        <v>0</v>
      </c>
      <c r="H362" s="165">
        <f t="shared" si="28"/>
        <v>1214</v>
      </c>
      <c r="J362" s="127">
        <f t="shared" si="29"/>
        <v>5</v>
      </c>
      <c r="K362" s="128">
        <f t="shared" si="30"/>
        <v>0</v>
      </c>
      <c r="L362" s="123" t="str">
        <f t="shared" si="14"/>
        <v>SI</v>
      </c>
      <c r="M362" s="140">
        <f t="shared" si="15"/>
        <v>0.89895613426051568</v>
      </c>
    </row>
    <row r="363" spans="1:13" s="123" customFormat="1" ht="24" customHeight="1">
      <c r="A363" s="26">
        <v>43199</v>
      </c>
      <c r="B363" s="135">
        <v>43199.831656134258</v>
      </c>
      <c r="C363" s="30" t="s">
        <v>28</v>
      </c>
      <c r="D363" s="30"/>
      <c r="E363" s="30">
        <v>0</v>
      </c>
      <c r="F363" s="30">
        <v>23</v>
      </c>
      <c r="G363" s="27">
        <v>0</v>
      </c>
      <c r="H363" s="165">
        <f t="shared" si="28"/>
        <v>1213</v>
      </c>
      <c r="J363" s="127">
        <f t="shared" si="29"/>
        <v>6</v>
      </c>
      <c r="K363" s="128">
        <f t="shared" si="30"/>
        <v>0</v>
      </c>
      <c r="L363" s="123" t="str">
        <f t="shared" si="14"/>
        <v>SI</v>
      </c>
      <c r="M363" s="140">
        <f t="shared" si="15"/>
        <v>0.8316561342580826</v>
      </c>
    </row>
    <row r="364" spans="1:13" s="123" customFormat="1" ht="24" customHeight="1">
      <c r="A364" s="26">
        <v>43199</v>
      </c>
      <c r="B364" s="135">
        <v>43199.799312037037</v>
      </c>
      <c r="C364" s="30" t="s">
        <v>14</v>
      </c>
      <c r="D364" s="30"/>
      <c r="E364" s="30">
        <v>12</v>
      </c>
      <c r="F364" s="30">
        <v>0</v>
      </c>
      <c r="G364" s="27">
        <v>0</v>
      </c>
      <c r="H364" s="165">
        <f t="shared" si="28"/>
        <v>1212</v>
      </c>
      <c r="J364" s="127">
        <f t="shared" si="29"/>
        <v>0</v>
      </c>
      <c r="K364" s="128">
        <f t="shared" si="30"/>
        <v>0</v>
      </c>
      <c r="L364" s="123" t="str">
        <f t="shared" si="14"/>
        <v>SI</v>
      </c>
      <c r="M364" s="140">
        <f t="shared" si="15"/>
        <v>0.79931203703745268</v>
      </c>
    </row>
    <row r="365" spans="1:13" s="123" customFormat="1" ht="24" customHeight="1">
      <c r="A365" s="26">
        <v>43199</v>
      </c>
      <c r="B365" s="135">
        <v>43199.797809374999</v>
      </c>
      <c r="C365" s="30" t="s">
        <v>14</v>
      </c>
      <c r="D365" s="30"/>
      <c r="E365" s="30">
        <v>12</v>
      </c>
      <c r="F365" s="30">
        <v>0</v>
      </c>
      <c r="G365" s="27">
        <v>0</v>
      </c>
      <c r="H365" s="31">
        <f t="shared" si="28"/>
        <v>1211</v>
      </c>
      <c r="J365" s="127">
        <f t="shared" si="29"/>
        <v>0</v>
      </c>
      <c r="K365" s="128">
        <f t="shared" si="30"/>
        <v>0</v>
      </c>
      <c r="L365" s="123" t="str">
        <f t="shared" si="14"/>
        <v>SI</v>
      </c>
      <c r="M365" s="140">
        <f t="shared" si="15"/>
        <v>0.7978093749989057</v>
      </c>
    </row>
    <row r="366" spans="1:13" s="123" customFormat="1" ht="24" customHeight="1">
      <c r="A366" s="26">
        <v>43199</v>
      </c>
      <c r="B366" s="135">
        <v>43199.780137037036</v>
      </c>
      <c r="C366" s="30" t="s">
        <v>20</v>
      </c>
      <c r="D366" s="30"/>
      <c r="E366" s="30">
        <v>8</v>
      </c>
      <c r="F366" s="30">
        <v>19</v>
      </c>
      <c r="G366" s="27">
        <v>0</v>
      </c>
      <c r="H366" s="165">
        <f t="shared" ref="H366:H397" si="31">+H367+1</f>
        <v>1210</v>
      </c>
      <c r="J366" s="127">
        <f t="shared" ref="J366:J397" si="32">+ROUNDUP(F366/4,0)</f>
        <v>5</v>
      </c>
      <c r="K366" s="128">
        <f t="shared" ref="K366:K397" si="33">+ROUNDUP(G366/2,0)</f>
        <v>0</v>
      </c>
      <c r="L366" s="123" t="str">
        <f t="shared" si="14"/>
        <v>NO</v>
      </c>
      <c r="M366" s="140">
        <f t="shared" si="15"/>
        <v>0.78013703703618376</v>
      </c>
    </row>
    <row r="367" spans="1:13" s="123" customFormat="1" ht="24" customHeight="1">
      <c r="A367" s="26">
        <v>43199</v>
      </c>
      <c r="B367" s="135">
        <v>43199.757987268516</v>
      </c>
      <c r="C367" s="30" t="s">
        <v>18</v>
      </c>
      <c r="D367" s="30"/>
      <c r="E367" s="30">
        <v>0</v>
      </c>
      <c r="F367" s="30">
        <v>0</v>
      </c>
      <c r="G367" s="27">
        <v>4</v>
      </c>
      <c r="H367" s="165">
        <f t="shared" si="31"/>
        <v>1209</v>
      </c>
      <c r="J367" s="127">
        <f t="shared" si="32"/>
        <v>0</v>
      </c>
      <c r="K367" s="128">
        <f t="shared" si="33"/>
        <v>2</v>
      </c>
      <c r="L367" s="123" t="str">
        <f t="shared" si="14"/>
        <v>NO</v>
      </c>
      <c r="M367" s="140">
        <f t="shared" si="15"/>
        <v>0.7579872685164446</v>
      </c>
    </row>
    <row r="368" spans="1:13" s="123" customFormat="1" ht="24" customHeight="1">
      <c r="A368" s="26">
        <v>43199</v>
      </c>
      <c r="B368" s="135">
        <v>43199.744534722224</v>
      </c>
      <c r="C368" s="30" t="s">
        <v>36</v>
      </c>
      <c r="D368" s="30"/>
      <c r="E368" s="30">
        <v>4</v>
      </c>
      <c r="F368" s="30">
        <v>2</v>
      </c>
      <c r="G368" s="27">
        <v>0</v>
      </c>
      <c r="H368" s="165">
        <f t="shared" si="31"/>
        <v>1208</v>
      </c>
      <c r="J368" s="127">
        <f t="shared" si="32"/>
        <v>1</v>
      </c>
      <c r="K368" s="128">
        <f t="shared" si="33"/>
        <v>0</v>
      </c>
      <c r="L368" s="123" t="str">
        <f t="shared" si="14"/>
        <v>NO</v>
      </c>
      <c r="M368" s="140">
        <f t="shared" si="15"/>
        <v>0.74453472222376149</v>
      </c>
    </row>
    <row r="369" spans="1:13" s="123" customFormat="1" ht="24" customHeight="1">
      <c r="A369" s="26">
        <v>43199</v>
      </c>
      <c r="B369" s="135">
        <v>43199.743795023147</v>
      </c>
      <c r="C369" s="30" t="s">
        <v>36</v>
      </c>
      <c r="D369" s="30"/>
      <c r="E369" s="30">
        <v>4</v>
      </c>
      <c r="F369" s="30">
        <v>2</v>
      </c>
      <c r="G369" s="27">
        <v>0</v>
      </c>
      <c r="H369" s="31">
        <f t="shared" si="31"/>
        <v>1207</v>
      </c>
      <c r="J369" s="127">
        <f t="shared" si="32"/>
        <v>1</v>
      </c>
      <c r="K369" s="128">
        <f t="shared" si="33"/>
        <v>0</v>
      </c>
      <c r="L369" s="123" t="str">
        <f t="shared" si="14"/>
        <v>NO</v>
      </c>
      <c r="M369" s="140">
        <f t="shared" si="15"/>
        <v>0.74379502314695856</v>
      </c>
    </row>
    <row r="370" spans="1:13" s="123" customFormat="1" ht="24" customHeight="1">
      <c r="A370" s="26">
        <v>43199</v>
      </c>
      <c r="B370" s="135">
        <v>43199.714899999999</v>
      </c>
      <c r="C370" s="30" t="s">
        <v>24</v>
      </c>
      <c r="D370" s="30"/>
      <c r="E370" s="30">
        <v>6</v>
      </c>
      <c r="F370" s="30">
        <v>1</v>
      </c>
      <c r="G370" s="27">
        <v>0</v>
      </c>
      <c r="H370" s="165">
        <f t="shared" si="31"/>
        <v>1206</v>
      </c>
      <c r="J370" s="127">
        <f t="shared" si="32"/>
        <v>1</v>
      </c>
      <c r="K370" s="128">
        <f t="shared" si="33"/>
        <v>0</v>
      </c>
      <c r="L370" s="123" t="str">
        <f t="shared" si="14"/>
        <v>NO</v>
      </c>
      <c r="M370" s="140">
        <f t="shared" si="15"/>
        <v>0.71489999999903375</v>
      </c>
    </row>
    <row r="371" spans="1:13" s="123" customFormat="1" ht="24" customHeight="1">
      <c r="A371" s="26">
        <v>43199</v>
      </c>
      <c r="B371" s="135">
        <v>43199.672249421295</v>
      </c>
      <c r="C371" s="30" t="s">
        <v>109</v>
      </c>
      <c r="D371" s="30"/>
      <c r="E371" s="30">
        <v>2</v>
      </c>
      <c r="F371" s="30">
        <v>0</v>
      </c>
      <c r="G371" s="27">
        <v>0</v>
      </c>
      <c r="H371" s="165">
        <f t="shared" si="31"/>
        <v>1205</v>
      </c>
      <c r="J371" s="127">
        <f t="shared" si="32"/>
        <v>0</v>
      </c>
      <c r="K371" s="128">
        <f t="shared" si="33"/>
        <v>0</v>
      </c>
      <c r="L371" s="123" t="str">
        <f t="shared" si="14"/>
        <v>NO</v>
      </c>
      <c r="M371" s="140">
        <f t="shared" si="15"/>
        <v>0.67224942129541887</v>
      </c>
    </row>
    <row r="372" spans="1:13" s="123" customFormat="1" ht="24" customHeight="1">
      <c r="A372" s="26">
        <v>43199</v>
      </c>
      <c r="B372" s="135">
        <v>43199.642826620373</v>
      </c>
      <c r="C372" s="30" t="s">
        <v>22</v>
      </c>
      <c r="D372" s="30"/>
      <c r="E372" s="30">
        <v>4</v>
      </c>
      <c r="F372" s="30">
        <v>24</v>
      </c>
      <c r="G372" s="27">
        <v>0</v>
      </c>
      <c r="H372" s="165">
        <f t="shared" si="31"/>
        <v>1204</v>
      </c>
      <c r="J372" s="127">
        <f t="shared" si="32"/>
        <v>6</v>
      </c>
      <c r="K372" s="128">
        <f t="shared" si="33"/>
        <v>0</v>
      </c>
      <c r="L372" s="123" t="str">
        <f t="shared" si="14"/>
        <v>NO</v>
      </c>
      <c r="M372" s="140">
        <f t="shared" si="15"/>
        <v>0.64282662037294358</v>
      </c>
    </row>
    <row r="373" spans="1:13" s="123" customFormat="1" ht="24" customHeight="1">
      <c r="A373" s="26">
        <v>43199</v>
      </c>
      <c r="B373" s="135">
        <v>43199.635402314816</v>
      </c>
      <c r="C373" s="30" t="s">
        <v>24</v>
      </c>
      <c r="D373" s="30"/>
      <c r="E373" s="30">
        <v>0</v>
      </c>
      <c r="F373" s="30">
        <v>6</v>
      </c>
      <c r="G373" s="27">
        <v>0</v>
      </c>
      <c r="H373" s="31">
        <f t="shared" si="31"/>
        <v>1203</v>
      </c>
      <c r="J373" s="127">
        <f t="shared" si="32"/>
        <v>2</v>
      </c>
      <c r="K373" s="128">
        <f t="shared" si="33"/>
        <v>0</v>
      </c>
      <c r="L373" s="123" t="str">
        <f t="shared" si="14"/>
        <v>NO</v>
      </c>
      <c r="M373" s="140">
        <f t="shared" si="15"/>
        <v>0.6354023148160195</v>
      </c>
    </row>
    <row r="374" spans="1:13" s="123" customFormat="1" ht="24" customHeight="1">
      <c r="A374" s="26">
        <v>43199</v>
      </c>
      <c r="B374" s="135">
        <v>43199.632792245371</v>
      </c>
      <c r="C374" s="30" t="s">
        <v>24</v>
      </c>
      <c r="D374" s="30"/>
      <c r="E374" s="30">
        <v>0</v>
      </c>
      <c r="F374" s="30">
        <v>6</v>
      </c>
      <c r="G374" s="27">
        <v>0</v>
      </c>
      <c r="H374" s="165">
        <f t="shared" si="31"/>
        <v>1202</v>
      </c>
      <c r="J374" s="127">
        <f t="shared" si="32"/>
        <v>2</v>
      </c>
      <c r="K374" s="128">
        <f t="shared" si="33"/>
        <v>0</v>
      </c>
      <c r="L374" s="123" t="str">
        <f t="shared" si="14"/>
        <v>NO</v>
      </c>
      <c r="M374" s="140">
        <f t="shared" si="15"/>
        <v>0.63279224537109258</v>
      </c>
    </row>
    <row r="375" spans="1:13" s="123" customFormat="1" ht="24" customHeight="1">
      <c r="A375" s="26">
        <v>43199</v>
      </c>
      <c r="B375" s="135">
        <v>43199.602868402777</v>
      </c>
      <c r="C375" s="30" t="s">
        <v>33</v>
      </c>
      <c r="D375" s="30"/>
      <c r="E375" s="30">
        <v>7</v>
      </c>
      <c r="F375" s="30">
        <v>12</v>
      </c>
      <c r="G375" s="27">
        <v>0</v>
      </c>
      <c r="H375" s="165">
        <f t="shared" si="31"/>
        <v>1201</v>
      </c>
      <c r="J375" s="127">
        <f t="shared" si="32"/>
        <v>3</v>
      </c>
      <c r="K375" s="128">
        <f t="shared" si="33"/>
        <v>0</v>
      </c>
      <c r="L375" s="123" t="str">
        <f t="shared" si="14"/>
        <v>NO</v>
      </c>
      <c r="M375" s="140">
        <f t="shared" si="15"/>
        <v>0.60286840277694864</v>
      </c>
    </row>
    <row r="376" spans="1:13" s="123" customFormat="1" ht="24" customHeight="1">
      <c r="A376" s="26">
        <v>43199</v>
      </c>
      <c r="B376" s="135">
        <v>43199.584574884262</v>
      </c>
      <c r="C376" s="30" t="s">
        <v>27</v>
      </c>
      <c r="D376" s="30"/>
      <c r="E376" s="30">
        <v>0</v>
      </c>
      <c r="F376" s="30">
        <v>18</v>
      </c>
      <c r="G376" s="27">
        <v>0</v>
      </c>
      <c r="H376" s="31">
        <f t="shared" si="31"/>
        <v>1200</v>
      </c>
      <c r="J376" s="127">
        <f t="shared" si="32"/>
        <v>5</v>
      </c>
      <c r="K376" s="128">
        <f t="shared" si="33"/>
        <v>0</v>
      </c>
      <c r="L376" s="123" t="str">
        <f t="shared" si="14"/>
        <v>NO</v>
      </c>
      <c r="M376" s="140">
        <f t="shared" si="15"/>
        <v>0.58457488426211057</v>
      </c>
    </row>
    <row r="377" spans="1:13" s="123" customFormat="1" ht="24" customHeight="1">
      <c r="A377" s="26">
        <v>43199</v>
      </c>
      <c r="B377" s="135">
        <v>43199.543764930553</v>
      </c>
      <c r="C377" s="30" t="s">
        <v>79</v>
      </c>
      <c r="D377" s="30"/>
      <c r="E377" s="30">
        <v>18</v>
      </c>
      <c r="F377" s="30">
        <v>0</v>
      </c>
      <c r="G377" s="27">
        <v>9</v>
      </c>
      <c r="H377" s="165">
        <f t="shared" si="31"/>
        <v>1199</v>
      </c>
      <c r="J377" s="127">
        <f t="shared" si="32"/>
        <v>0</v>
      </c>
      <c r="K377" s="128">
        <f t="shared" si="33"/>
        <v>5</v>
      </c>
      <c r="L377" s="123" t="str">
        <f t="shared" si="14"/>
        <v>NO</v>
      </c>
      <c r="M377" s="140">
        <f t="shared" si="15"/>
        <v>0.54376493055315223</v>
      </c>
    </row>
    <row r="378" spans="1:13" s="123" customFormat="1" ht="24" customHeight="1">
      <c r="A378" s="26">
        <v>43199</v>
      </c>
      <c r="B378" s="135">
        <v>43199.50455046296</v>
      </c>
      <c r="C378" s="30" t="s">
        <v>27</v>
      </c>
      <c r="D378" s="30"/>
      <c r="E378" s="30">
        <v>7</v>
      </c>
      <c r="F378" s="30">
        <v>3</v>
      </c>
      <c r="G378" s="27">
        <v>0</v>
      </c>
      <c r="H378" s="31">
        <f t="shared" si="31"/>
        <v>1198</v>
      </c>
      <c r="J378" s="127">
        <f t="shared" si="32"/>
        <v>1</v>
      </c>
      <c r="K378" s="128">
        <f t="shared" si="33"/>
        <v>0</v>
      </c>
      <c r="L378" s="123" t="str">
        <f t="shared" si="14"/>
        <v>NO</v>
      </c>
      <c r="M378" s="140">
        <f t="shared" si="15"/>
        <v>0.50455046295974171</v>
      </c>
    </row>
    <row r="379" spans="1:13" s="123" customFormat="1" ht="24" customHeight="1">
      <c r="A379" s="26">
        <v>43199</v>
      </c>
      <c r="B379" s="135">
        <v>43199.409519907407</v>
      </c>
      <c r="C379" s="30" t="s">
        <v>13</v>
      </c>
      <c r="D379" s="30"/>
      <c r="E379" s="30">
        <v>22</v>
      </c>
      <c r="F379" s="30">
        <v>39</v>
      </c>
      <c r="G379" s="27">
        <v>6</v>
      </c>
      <c r="H379" s="165">
        <f t="shared" si="31"/>
        <v>1197</v>
      </c>
      <c r="J379" s="127">
        <f t="shared" si="32"/>
        <v>10</v>
      </c>
      <c r="K379" s="128">
        <f t="shared" si="33"/>
        <v>3</v>
      </c>
      <c r="L379" s="123" t="str">
        <f t="shared" si="14"/>
        <v>NO</v>
      </c>
      <c r="M379" s="140">
        <f t="shared" si="15"/>
        <v>0.40951990740722977</v>
      </c>
    </row>
    <row r="380" spans="1:13" s="123" customFormat="1" ht="24" customHeight="1">
      <c r="A380" s="26">
        <v>43199</v>
      </c>
      <c r="B380" s="135">
        <v>43199.34854525463</v>
      </c>
      <c r="C380" s="30" t="s">
        <v>13</v>
      </c>
      <c r="D380" s="30"/>
      <c r="E380" s="30">
        <v>12</v>
      </c>
      <c r="F380" s="30">
        <v>24</v>
      </c>
      <c r="G380" s="27">
        <v>2</v>
      </c>
      <c r="H380" s="165">
        <f t="shared" si="31"/>
        <v>1196</v>
      </c>
      <c r="J380" s="127">
        <f t="shared" si="32"/>
        <v>6</v>
      </c>
      <c r="K380" s="128">
        <f t="shared" si="33"/>
        <v>1</v>
      </c>
      <c r="L380" s="123" t="str">
        <f t="shared" si="14"/>
        <v>NO</v>
      </c>
      <c r="M380" s="140">
        <f t="shared" si="15"/>
        <v>0.34854525463015307</v>
      </c>
    </row>
    <row r="381" spans="1:13" s="123" customFormat="1" ht="24" customHeight="1">
      <c r="A381" s="26">
        <v>43198</v>
      </c>
      <c r="B381" s="135">
        <v>43198.94204224537</v>
      </c>
      <c r="C381" s="30" t="s">
        <v>13</v>
      </c>
      <c r="D381" s="30"/>
      <c r="E381" s="30">
        <v>7</v>
      </c>
      <c r="F381" s="30">
        <v>8</v>
      </c>
      <c r="G381" s="27">
        <v>0</v>
      </c>
      <c r="H381" s="165">
        <f t="shared" si="31"/>
        <v>1195</v>
      </c>
      <c r="J381" s="127">
        <f t="shared" si="32"/>
        <v>2</v>
      </c>
      <c r="K381" s="128">
        <f t="shared" si="33"/>
        <v>0</v>
      </c>
      <c r="L381" s="123" t="str">
        <f t="shared" si="14"/>
        <v>SI</v>
      </c>
      <c r="M381" s="140">
        <f t="shared" si="15"/>
        <v>0.94204224536952097</v>
      </c>
    </row>
    <row r="382" spans="1:13" s="123" customFormat="1" ht="24" customHeight="1">
      <c r="A382" s="26">
        <v>43198</v>
      </c>
      <c r="B382" s="135">
        <v>43198.930420370372</v>
      </c>
      <c r="C382" s="30" t="s">
        <v>36</v>
      </c>
      <c r="D382" s="30"/>
      <c r="E382" s="30">
        <v>0</v>
      </c>
      <c r="F382" s="30">
        <v>5</v>
      </c>
      <c r="G382" s="27">
        <v>0</v>
      </c>
      <c r="H382" s="165">
        <f t="shared" si="31"/>
        <v>1194</v>
      </c>
      <c r="J382" s="127">
        <f t="shared" si="32"/>
        <v>2</v>
      </c>
      <c r="K382" s="128">
        <f t="shared" si="33"/>
        <v>0</v>
      </c>
      <c r="L382" s="123" t="str">
        <f t="shared" si="14"/>
        <v>SI</v>
      </c>
      <c r="M382" s="140">
        <f t="shared" si="15"/>
        <v>0.9304203703723033</v>
      </c>
    </row>
    <row r="383" spans="1:13" s="123" customFormat="1" ht="24" customHeight="1">
      <c r="A383" s="26">
        <v>43198</v>
      </c>
      <c r="B383" s="135">
        <v>43198.854093518516</v>
      </c>
      <c r="C383" s="30" t="s">
        <v>36</v>
      </c>
      <c r="D383" s="30"/>
      <c r="E383" s="30">
        <v>10</v>
      </c>
      <c r="F383" s="30">
        <v>3</v>
      </c>
      <c r="G383" s="27">
        <v>0</v>
      </c>
      <c r="H383" s="165">
        <f t="shared" si="31"/>
        <v>1193</v>
      </c>
      <c r="J383" s="127">
        <f t="shared" si="32"/>
        <v>1</v>
      </c>
      <c r="K383" s="128">
        <f t="shared" si="33"/>
        <v>0</v>
      </c>
      <c r="L383" s="123" t="str">
        <f t="shared" si="14"/>
        <v>SI</v>
      </c>
      <c r="M383" s="140">
        <f t="shared" si="15"/>
        <v>0.85409351851558313</v>
      </c>
    </row>
    <row r="384" spans="1:13" s="123" customFormat="1" ht="24" customHeight="1">
      <c r="A384" s="26">
        <v>43198</v>
      </c>
      <c r="B384" s="135">
        <v>43198.746548842595</v>
      </c>
      <c r="C384" s="30" t="s">
        <v>16</v>
      </c>
      <c r="D384" s="30"/>
      <c r="E384" s="30">
        <v>1</v>
      </c>
      <c r="F384" s="30">
        <v>0</v>
      </c>
      <c r="G384" s="27">
        <v>0</v>
      </c>
      <c r="H384" s="165">
        <f t="shared" si="31"/>
        <v>1192</v>
      </c>
      <c r="J384" s="127">
        <f t="shared" si="32"/>
        <v>0</v>
      </c>
      <c r="K384" s="128">
        <f t="shared" si="33"/>
        <v>0</v>
      </c>
      <c r="L384" s="123" t="str">
        <f t="shared" si="14"/>
        <v>NO</v>
      </c>
      <c r="M384" s="140">
        <f t="shared" si="15"/>
        <v>0.74654884259507526</v>
      </c>
    </row>
    <row r="385" spans="1:13" s="123" customFormat="1" ht="24" customHeight="1">
      <c r="A385" s="26">
        <v>43198</v>
      </c>
      <c r="B385" s="135">
        <v>43198.666509027775</v>
      </c>
      <c r="C385" s="30" t="s">
        <v>25</v>
      </c>
      <c r="D385" s="30"/>
      <c r="E385" s="30">
        <v>1</v>
      </c>
      <c r="F385" s="30">
        <v>0</v>
      </c>
      <c r="G385" s="27">
        <v>0</v>
      </c>
      <c r="H385" s="165">
        <f t="shared" si="31"/>
        <v>1191</v>
      </c>
      <c r="J385" s="127">
        <f t="shared" si="32"/>
        <v>0</v>
      </c>
      <c r="K385" s="128">
        <f t="shared" si="33"/>
        <v>0</v>
      </c>
      <c r="L385" s="123" t="str">
        <f t="shared" si="14"/>
        <v>NO</v>
      </c>
      <c r="M385" s="140">
        <f t="shared" si="15"/>
        <v>0.66650902777473675</v>
      </c>
    </row>
    <row r="386" spans="1:13" s="123" customFormat="1" ht="24" customHeight="1">
      <c r="A386" s="26">
        <v>43197</v>
      </c>
      <c r="B386" s="135">
        <v>43197.992508217591</v>
      </c>
      <c r="C386" s="30" t="s">
        <v>36</v>
      </c>
      <c r="D386" s="30"/>
      <c r="E386" s="30">
        <v>1</v>
      </c>
      <c r="F386" s="30">
        <v>0</v>
      </c>
      <c r="G386" s="27">
        <v>0</v>
      </c>
      <c r="H386" s="165">
        <f t="shared" si="31"/>
        <v>1190</v>
      </c>
      <c r="J386" s="127">
        <f t="shared" si="32"/>
        <v>0</v>
      </c>
      <c r="K386" s="128">
        <f t="shared" si="33"/>
        <v>0</v>
      </c>
      <c r="L386" s="123" t="str">
        <f t="shared" si="14"/>
        <v>SI</v>
      </c>
      <c r="M386" s="140">
        <f t="shared" si="15"/>
        <v>0.99250821759051178</v>
      </c>
    </row>
    <row r="387" spans="1:13" s="123" customFormat="1" ht="24" customHeight="1">
      <c r="A387" s="26">
        <v>43197</v>
      </c>
      <c r="B387" s="135">
        <v>43197.938522800927</v>
      </c>
      <c r="C387" s="30" t="s">
        <v>14</v>
      </c>
      <c r="D387" s="30"/>
      <c r="E387" s="30">
        <v>0</v>
      </c>
      <c r="F387" s="30">
        <v>0</v>
      </c>
      <c r="G387" s="27">
        <v>6</v>
      </c>
      <c r="H387" s="165">
        <f t="shared" si="31"/>
        <v>1189</v>
      </c>
      <c r="J387" s="127">
        <f t="shared" si="32"/>
        <v>0</v>
      </c>
      <c r="K387" s="128">
        <f t="shared" si="33"/>
        <v>3</v>
      </c>
      <c r="L387" s="123" t="str">
        <f t="shared" si="14"/>
        <v>SI</v>
      </c>
      <c r="M387" s="140">
        <f t="shared" si="15"/>
        <v>0.93852280092687579</v>
      </c>
    </row>
    <row r="388" spans="1:13" s="123" customFormat="1" ht="24" customHeight="1">
      <c r="A388" s="26">
        <v>43197</v>
      </c>
      <c r="B388" s="135">
        <v>43197.704360995369</v>
      </c>
      <c r="C388" s="30" t="s">
        <v>36</v>
      </c>
      <c r="D388" s="30"/>
      <c r="E388" s="30">
        <v>2</v>
      </c>
      <c r="F388" s="30">
        <v>22</v>
      </c>
      <c r="G388" s="27">
        <v>0</v>
      </c>
      <c r="H388" s="165">
        <f t="shared" si="31"/>
        <v>1188</v>
      </c>
      <c r="J388" s="127">
        <f t="shared" si="32"/>
        <v>6</v>
      </c>
      <c r="K388" s="128">
        <f t="shared" si="33"/>
        <v>0</v>
      </c>
      <c r="L388" s="123" t="str">
        <f t="shared" si="14"/>
        <v>NO</v>
      </c>
      <c r="M388" s="140">
        <f t="shared" si="15"/>
        <v>0.70436099536891561</v>
      </c>
    </row>
    <row r="389" spans="1:13" s="123" customFormat="1" ht="24" customHeight="1">
      <c r="A389" s="26">
        <v>43197</v>
      </c>
      <c r="B389" s="135">
        <v>43197.698300115742</v>
      </c>
      <c r="C389" s="30" t="s">
        <v>20</v>
      </c>
      <c r="D389" s="30"/>
      <c r="E389" s="30">
        <v>4</v>
      </c>
      <c r="F389" s="30">
        <v>47</v>
      </c>
      <c r="G389" s="27">
        <v>2</v>
      </c>
      <c r="H389" s="165">
        <f t="shared" si="31"/>
        <v>1187</v>
      </c>
      <c r="J389" s="127">
        <f t="shared" si="32"/>
        <v>12</v>
      </c>
      <c r="K389" s="128">
        <f t="shared" si="33"/>
        <v>1</v>
      </c>
      <c r="L389" s="123" t="str">
        <f t="shared" si="14"/>
        <v>NO</v>
      </c>
      <c r="M389" s="140">
        <f t="shared" si="15"/>
        <v>0.69830011574231321</v>
      </c>
    </row>
    <row r="390" spans="1:13" s="123" customFormat="1" ht="24" customHeight="1">
      <c r="A390" s="26">
        <v>43197</v>
      </c>
      <c r="B390" s="135">
        <v>43197.6614619213</v>
      </c>
      <c r="C390" s="30" t="s">
        <v>107</v>
      </c>
      <c r="D390" s="30"/>
      <c r="E390" s="30">
        <v>2</v>
      </c>
      <c r="F390" s="30">
        <v>4</v>
      </c>
      <c r="G390" s="27">
        <v>0</v>
      </c>
      <c r="H390" s="31">
        <f t="shared" si="31"/>
        <v>1186</v>
      </c>
      <c r="J390" s="127">
        <f t="shared" si="32"/>
        <v>1</v>
      </c>
      <c r="K390" s="128">
        <f t="shared" si="33"/>
        <v>0</v>
      </c>
      <c r="L390" s="123" t="str">
        <f t="shared" si="14"/>
        <v>NO</v>
      </c>
      <c r="M390" s="140">
        <f t="shared" si="15"/>
        <v>0.6614619212996331</v>
      </c>
    </row>
    <row r="391" spans="1:13" s="123" customFormat="1" ht="24" customHeight="1">
      <c r="A391" s="26">
        <v>43197</v>
      </c>
      <c r="B391" s="135">
        <v>43197.658104629627</v>
      </c>
      <c r="C391" s="30" t="s">
        <v>15</v>
      </c>
      <c r="D391" s="30"/>
      <c r="E391" s="30">
        <v>4</v>
      </c>
      <c r="F391" s="30">
        <v>10</v>
      </c>
      <c r="G391" s="27">
        <v>0</v>
      </c>
      <c r="H391" s="165">
        <f t="shared" si="31"/>
        <v>1185</v>
      </c>
      <c r="J391" s="127">
        <f t="shared" si="32"/>
        <v>3</v>
      </c>
      <c r="K391" s="128">
        <f t="shared" si="33"/>
        <v>0</v>
      </c>
      <c r="L391" s="123" t="str">
        <f t="shared" si="14"/>
        <v>NO</v>
      </c>
      <c r="M391" s="140">
        <f t="shared" si="15"/>
        <v>0.65810462962690508</v>
      </c>
    </row>
    <row r="392" spans="1:13" s="123" customFormat="1" ht="24" customHeight="1">
      <c r="A392" s="26">
        <v>43197</v>
      </c>
      <c r="B392" s="135">
        <v>43197.646436342591</v>
      </c>
      <c r="C392" s="30" t="s">
        <v>77</v>
      </c>
      <c r="D392" s="30"/>
      <c r="E392" s="30">
        <v>1</v>
      </c>
      <c r="F392" s="30">
        <v>10</v>
      </c>
      <c r="G392" s="27">
        <v>0</v>
      </c>
      <c r="H392" s="165">
        <f t="shared" si="31"/>
        <v>1184</v>
      </c>
      <c r="J392" s="127">
        <f t="shared" si="32"/>
        <v>3</v>
      </c>
      <c r="K392" s="128">
        <f t="shared" si="33"/>
        <v>0</v>
      </c>
      <c r="L392" s="123" t="str">
        <f t="shared" si="14"/>
        <v>NO</v>
      </c>
      <c r="M392" s="140">
        <f t="shared" si="15"/>
        <v>0.64643634259118699</v>
      </c>
    </row>
    <row r="393" spans="1:13" s="123" customFormat="1" ht="24" customHeight="1">
      <c r="A393" s="26">
        <v>43197</v>
      </c>
      <c r="B393" s="135">
        <v>43197.63603483796</v>
      </c>
      <c r="C393" s="30" t="s">
        <v>22</v>
      </c>
      <c r="D393" s="30"/>
      <c r="E393" s="30">
        <v>0</v>
      </c>
      <c r="F393" s="30">
        <v>6</v>
      </c>
      <c r="G393" s="27">
        <v>0</v>
      </c>
      <c r="H393" s="165">
        <f t="shared" si="31"/>
        <v>1183</v>
      </c>
      <c r="J393" s="127">
        <f t="shared" si="32"/>
        <v>2</v>
      </c>
      <c r="K393" s="128">
        <f t="shared" si="33"/>
        <v>0</v>
      </c>
      <c r="L393" s="123" t="str">
        <f t="shared" si="14"/>
        <v>NO</v>
      </c>
      <c r="M393" s="140">
        <f t="shared" si="15"/>
        <v>0.63603483796032378</v>
      </c>
    </row>
    <row r="394" spans="1:13" s="123" customFormat="1" ht="24" customHeight="1">
      <c r="A394" s="26">
        <v>43197</v>
      </c>
      <c r="B394" s="135">
        <v>43197.63322974537</v>
      </c>
      <c r="C394" s="30" t="s">
        <v>89</v>
      </c>
      <c r="D394" s="30"/>
      <c r="E394" s="30">
        <v>4</v>
      </c>
      <c r="F394" s="30">
        <v>9</v>
      </c>
      <c r="G394" s="27">
        <v>0</v>
      </c>
      <c r="H394" s="31">
        <f t="shared" si="31"/>
        <v>1182</v>
      </c>
      <c r="J394" s="127">
        <f t="shared" si="32"/>
        <v>3</v>
      </c>
      <c r="K394" s="128">
        <f t="shared" si="33"/>
        <v>0</v>
      </c>
      <c r="L394" s="123" t="str">
        <f t="shared" si="14"/>
        <v>NO</v>
      </c>
      <c r="M394" s="140">
        <f t="shared" si="15"/>
        <v>0.63322974537004484</v>
      </c>
    </row>
    <row r="395" spans="1:13" s="123" customFormat="1" ht="24" customHeight="1">
      <c r="A395" s="26">
        <v>43197</v>
      </c>
      <c r="B395" s="135">
        <v>43197.615675462963</v>
      </c>
      <c r="C395" s="30" t="s">
        <v>27</v>
      </c>
      <c r="D395" s="30"/>
      <c r="E395" s="30">
        <v>16</v>
      </c>
      <c r="F395" s="30">
        <v>15</v>
      </c>
      <c r="G395" s="27">
        <v>2</v>
      </c>
      <c r="H395" s="31">
        <f t="shared" si="31"/>
        <v>1181</v>
      </c>
      <c r="J395" s="127">
        <f t="shared" si="32"/>
        <v>4</v>
      </c>
      <c r="K395" s="128">
        <f t="shared" si="33"/>
        <v>1</v>
      </c>
      <c r="L395" s="123" t="str">
        <f t="shared" si="14"/>
        <v>NO</v>
      </c>
      <c r="M395" s="140">
        <f t="shared" si="15"/>
        <v>0.61567546296282671</v>
      </c>
    </row>
    <row r="396" spans="1:13" s="123" customFormat="1" ht="24" customHeight="1">
      <c r="A396" s="26">
        <v>43197</v>
      </c>
      <c r="B396" s="135">
        <v>43197.564673842593</v>
      </c>
      <c r="C396" s="30" t="s">
        <v>11</v>
      </c>
      <c r="D396" s="30"/>
      <c r="E396" s="30">
        <v>0</v>
      </c>
      <c r="F396" s="30">
        <v>33</v>
      </c>
      <c r="G396" s="27">
        <v>3</v>
      </c>
      <c r="H396" s="165">
        <f t="shared" si="31"/>
        <v>1180</v>
      </c>
      <c r="J396" s="127">
        <f t="shared" si="32"/>
        <v>9</v>
      </c>
      <c r="K396" s="128">
        <f t="shared" si="33"/>
        <v>2</v>
      </c>
      <c r="L396" s="123" t="str">
        <f t="shared" si="14"/>
        <v>NO</v>
      </c>
      <c r="M396" s="140">
        <f t="shared" si="15"/>
        <v>0.56467384259303799</v>
      </c>
    </row>
    <row r="397" spans="1:13" s="123" customFormat="1" ht="24" customHeight="1">
      <c r="A397" s="26">
        <v>43197</v>
      </c>
      <c r="B397" s="135">
        <v>43197.533540393517</v>
      </c>
      <c r="C397" s="30" t="s">
        <v>86</v>
      </c>
      <c r="D397" s="30"/>
      <c r="E397" s="30">
        <v>3</v>
      </c>
      <c r="F397" s="30">
        <v>0</v>
      </c>
      <c r="G397" s="27">
        <v>0</v>
      </c>
      <c r="H397" s="31">
        <f t="shared" si="31"/>
        <v>1179</v>
      </c>
      <c r="J397" s="127">
        <f t="shared" si="32"/>
        <v>0</v>
      </c>
      <c r="K397" s="128">
        <f t="shared" si="33"/>
        <v>0</v>
      </c>
      <c r="L397" s="123" t="str">
        <f t="shared" si="14"/>
        <v>NO</v>
      </c>
      <c r="M397" s="140">
        <f t="shared" si="15"/>
        <v>0.53354039351688698</v>
      </c>
    </row>
    <row r="398" spans="1:13" s="123" customFormat="1" ht="24" customHeight="1">
      <c r="A398" s="26">
        <v>43197</v>
      </c>
      <c r="B398" s="135">
        <v>43197.526788425923</v>
      </c>
      <c r="C398" s="30" t="s">
        <v>19</v>
      </c>
      <c r="D398" s="30"/>
      <c r="E398" s="30">
        <v>10</v>
      </c>
      <c r="F398" s="30">
        <v>0</v>
      </c>
      <c r="G398" s="27">
        <v>0</v>
      </c>
      <c r="H398" s="165">
        <f t="shared" ref="H398:H429" si="34">+H399+1</f>
        <v>1178</v>
      </c>
      <c r="J398" s="127">
        <f t="shared" ref="J398:J429" si="35">+ROUNDUP(F398/4,0)</f>
        <v>0</v>
      </c>
      <c r="K398" s="128">
        <f t="shared" ref="K398:K429" si="36">+ROUNDUP(G398/2,0)</f>
        <v>0</v>
      </c>
      <c r="L398" s="123" t="str">
        <f t="shared" si="14"/>
        <v>NO</v>
      </c>
      <c r="M398" s="140">
        <f t="shared" si="15"/>
        <v>0.52678842592285946</v>
      </c>
    </row>
    <row r="399" spans="1:13" s="123" customFormat="1" ht="24" customHeight="1">
      <c r="A399" s="26">
        <v>43197</v>
      </c>
      <c r="B399" s="135">
        <v>43197.500338194448</v>
      </c>
      <c r="C399" s="30" t="s">
        <v>86</v>
      </c>
      <c r="D399" s="30"/>
      <c r="E399" s="30">
        <v>6</v>
      </c>
      <c r="F399" s="30">
        <v>0</v>
      </c>
      <c r="G399" s="27">
        <v>0</v>
      </c>
      <c r="H399" s="31">
        <f t="shared" si="34"/>
        <v>1177</v>
      </c>
      <c r="J399" s="127">
        <f t="shared" si="35"/>
        <v>0</v>
      </c>
      <c r="K399" s="128">
        <f t="shared" si="36"/>
        <v>0</v>
      </c>
      <c r="L399" s="123" t="str">
        <f t="shared" si="14"/>
        <v>NO</v>
      </c>
      <c r="M399" s="140">
        <f t="shared" si="15"/>
        <v>0.500338194447977</v>
      </c>
    </row>
    <row r="400" spans="1:13" s="123" customFormat="1" ht="24" customHeight="1">
      <c r="A400" s="26">
        <v>43197</v>
      </c>
      <c r="B400" s="135">
        <v>43197.482457523147</v>
      </c>
      <c r="C400" s="30" t="s">
        <v>18</v>
      </c>
      <c r="D400" s="30"/>
      <c r="E400" s="30">
        <v>3</v>
      </c>
      <c r="F400" s="30">
        <v>6</v>
      </c>
      <c r="G400" s="27">
        <v>0</v>
      </c>
      <c r="H400" s="165">
        <f t="shared" si="34"/>
        <v>1176</v>
      </c>
      <c r="J400" s="127">
        <f t="shared" si="35"/>
        <v>2</v>
      </c>
      <c r="K400" s="128">
        <f t="shared" si="36"/>
        <v>0</v>
      </c>
      <c r="L400" s="123" t="str">
        <f t="shared" si="14"/>
        <v>NO</v>
      </c>
      <c r="M400" s="140">
        <f t="shared" si="15"/>
        <v>0.48245752314687707</v>
      </c>
    </row>
    <row r="401" spans="1:13" s="123" customFormat="1" ht="24" customHeight="1">
      <c r="A401" s="26">
        <v>43197</v>
      </c>
      <c r="B401" s="135">
        <v>43197.482361805553</v>
      </c>
      <c r="C401" s="30" t="s">
        <v>21</v>
      </c>
      <c r="D401" s="30"/>
      <c r="E401" s="30">
        <v>2</v>
      </c>
      <c r="F401" s="30">
        <v>0</v>
      </c>
      <c r="G401" s="27">
        <v>0</v>
      </c>
      <c r="H401" s="165">
        <f t="shared" si="34"/>
        <v>1175</v>
      </c>
      <c r="J401" s="127">
        <f t="shared" si="35"/>
        <v>0</v>
      </c>
      <c r="K401" s="128">
        <f t="shared" si="36"/>
        <v>0</v>
      </c>
      <c r="L401" s="123" t="str">
        <f t="shared" si="14"/>
        <v>NO</v>
      </c>
      <c r="M401" s="140">
        <f t="shared" si="15"/>
        <v>0.4823618055525003</v>
      </c>
    </row>
    <row r="402" spans="1:13" s="123" customFormat="1" ht="24" customHeight="1">
      <c r="A402" s="26">
        <v>43197</v>
      </c>
      <c r="B402" s="135">
        <v>43197.463076504631</v>
      </c>
      <c r="C402" s="30" t="s">
        <v>18</v>
      </c>
      <c r="D402" s="30"/>
      <c r="E402" s="30">
        <v>0</v>
      </c>
      <c r="F402" s="30">
        <v>6</v>
      </c>
      <c r="G402" s="27">
        <v>0</v>
      </c>
      <c r="H402" s="165">
        <f t="shared" si="34"/>
        <v>1174</v>
      </c>
      <c r="J402" s="127">
        <f t="shared" si="35"/>
        <v>2</v>
      </c>
      <c r="K402" s="128">
        <f t="shared" si="36"/>
        <v>0</v>
      </c>
      <c r="L402" s="123" t="str">
        <f t="shared" si="14"/>
        <v>NO</v>
      </c>
      <c r="M402" s="140">
        <f t="shared" si="15"/>
        <v>0.46307650463131722</v>
      </c>
    </row>
    <row r="403" spans="1:13" s="123" customFormat="1" ht="24" customHeight="1">
      <c r="A403" s="26">
        <v>43197</v>
      </c>
      <c r="B403" s="135">
        <v>43197.404453124997</v>
      </c>
      <c r="C403" s="30" t="s">
        <v>13</v>
      </c>
      <c r="D403" s="30"/>
      <c r="E403" s="30">
        <v>9</v>
      </c>
      <c r="F403" s="30">
        <v>32</v>
      </c>
      <c r="G403" s="27">
        <v>8</v>
      </c>
      <c r="H403" s="165">
        <f t="shared" si="34"/>
        <v>1173</v>
      </c>
      <c r="J403" s="127">
        <f t="shared" si="35"/>
        <v>8</v>
      </c>
      <c r="K403" s="128">
        <f t="shared" si="36"/>
        <v>4</v>
      </c>
      <c r="L403" s="123" t="str">
        <f t="shared" si="14"/>
        <v>NO</v>
      </c>
      <c r="M403" s="140">
        <f t="shared" si="15"/>
        <v>0.40445312499650754</v>
      </c>
    </row>
    <row r="404" spans="1:13" s="123" customFormat="1" ht="24" customHeight="1">
      <c r="A404" s="26">
        <v>43197</v>
      </c>
      <c r="B404" s="135">
        <v>43197.383016898151</v>
      </c>
      <c r="C404" s="30" t="s">
        <v>13</v>
      </c>
      <c r="D404" s="30"/>
      <c r="E404" s="30">
        <v>4</v>
      </c>
      <c r="F404" s="30">
        <v>12</v>
      </c>
      <c r="G404" s="27">
        <v>0</v>
      </c>
      <c r="H404" s="165">
        <f t="shared" si="34"/>
        <v>1172</v>
      </c>
      <c r="J404" s="127">
        <f t="shared" si="35"/>
        <v>3</v>
      </c>
      <c r="K404" s="128">
        <f t="shared" si="36"/>
        <v>0</v>
      </c>
      <c r="L404" s="123" t="str">
        <f t="shared" si="14"/>
        <v>NO</v>
      </c>
      <c r="M404" s="140">
        <f t="shared" si="15"/>
        <v>0.38301689815125428</v>
      </c>
    </row>
    <row r="405" spans="1:13" s="123" customFormat="1" ht="24" customHeight="1">
      <c r="A405" s="26">
        <v>43197</v>
      </c>
      <c r="B405" s="135">
        <v>43197.340923379626</v>
      </c>
      <c r="C405" s="30" t="s">
        <v>34</v>
      </c>
      <c r="D405" s="30"/>
      <c r="E405" s="30">
        <v>5</v>
      </c>
      <c r="F405" s="30">
        <v>24</v>
      </c>
      <c r="G405" s="27">
        <v>0</v>
      </c>
      <c r="H405" s="165">
        <f t="shared" si="34"/>
        <v>1171</v>
      </c>
      <c r="J405" s="127">
        <f t="shared" si="35"/>
        <v>6</v>
      </c>
      <c r="K405" s="128">
        <f t="shared" si="36"/>
        <v>0</v>
      </c>
      <c r="L405" s="123" t="str">
        <f t="shared" si="14"/>
        <v>NO</v>
      </c>
      <c r="M405" s="140">
        <f t="shared" si="15"/>
        <v>0.34092337962647434</v>
      </c>
    </row>
    <row r="406" spans="1:13" s="123" customFormat="1" ht="24" customHeight="1">
      <c r="A406" s="26">
        <v>43196</v>
      </c>
      <c r="B406" s="135">
        <v>43196.943656249998</v>
      </c>
      <c r="C406" s="30" t="s">
        <v>36</v>
      </c>
      <c r="D406" s="30"/>
      <c r="E406" s="30">
        <v>1</v>
      </c>
      <c r="F406" s="30">
        <v>0</v>
      </c>
      <c r="G406" s="27">
        <v>0</v>
      </c>
      <c r="H406" s="165">
        <f t="shared" si="34"/>
        <v>1170</v>
      </c>
      <c r="J406" s="127">
        <f t="shared" si="35"/>
        <v>0</v>
      </c>
      <c r="K406" s="128">
        <f t="shared" si="36"/>
        <v>0</v>
      </c>
      <c r="L406" s="123" t="str">
        <f t="shared" si="14"/>
        <v>SI</v>
      </c>
      <c r="M406" s="140">
        <f t="shared" si="15"/>
        <v>0.9436562499977299</v>
      </c>
    </row>
    <row r="407" spans="1:13" s="123" customFormat="1" ht="24" customHeight="1">
      <c r="A407" s="26">
        <v>43196</v>
      </c>
      <c r="B407" s="135">
        <v>43196.907522106485</v>
      </c>
      <c r="C407" s="30" t="s">
        <v>36</v>
      </c>
      <c r="D407" s="30"/>
      <c r="E407" s="30">
        <v>5</v>
      </c>
      <c r="F407" s="30">
        <v>9</v>
      </c>
      <c r="G407" s="27">
        <v>0</v>
      </c>
      <c r="H407" s="165">
        <f t="shared" si="34"/>
        <v>1169</v>
      </c>
      <c r="J407" s="127">
        <f t="shared" si="35"/>
        <v>3</v>
      </c>
      <c r="K407" s="128">
        <f t="shared" si="36"/>
        <v>0</v>
      </c>
      <c r="L407" s="123" t="str">
        <f t="shared" si="14"/>
        <v>SI</v>
      </c>
      <c r="M407" s="140">
        <f t="shared" si="15"/>
        <v>0.90752210648497567</v>
      </c>
    </row>
    <row r="408" spans="1:13" s="123" customFormat="1" ht="24" customHeight="1">
      <c r="A408" s="26">
        <v>43196</v>
      </c>
      <c r="B408" s="135">
        <v>43196.895433101854</v>
      </c>
      <c r="C408" s="30" t="s">
        <v>20</v>
      </c>
      <c r="D408" s="30"/>
      <c r="E408" s="30">
        <v>16</v>
      </c>
      <c r="F408" s="30">
        <v>13</v>
      </c>
      <c r="G408" s="27">
        <v>0</v>
      </c>
      <c r="H408" s="165">
        <f t="shared" si="34"/>
        <v>1168</v>
      </c>
      <c r="J408" s="127">
        <f t="shared" si="35"/>
        <v>4</v>
      </c>
      <c r="K408" s="128">
        <f t="shared" si="36"/>
        <v>0</v>
      </c>
      <c r="L408" s="123" t="str">
        <f t="shared" si="14"/>
        <v>SI</v>
      </c>
      <c r="M408" s="140">
        <f t="shared" si="15"/>
        <v>0.89543310185399605</v>
      </c>
    </row>
    <row r="409" spans="1:13" s="123" customFormat="1" ht="24" customHeight="1">
      <c r="A409" s="26">
        <v>43196</v>
      </c>
      <c r="B409" s="135">
        <v>43196.880627662038</v>
      </c>
      <c r="C409" s="30" t="s">
        <v>28</v>
      </c>
      <c r="D409" s="30"/>
      <c r="E409" s="30">
        <v>5</v>
      </c>
      <c r="F409" s="30">
        <v>20</v>
      </c>
      <c r="G409" s="27">
        <v>1</v>
      </c>
      <c r="H409" s="165">
        <f t="shared" si="34"/>
        <v>1167</v>
      </c>
      <c r="J409" s="127">
        <f t="shared" si="35"/>
        <v>5</v>
      </c>
      <c r="K409" s="128">
        <f t="shared" si="36"/>
        <v>1</v>
      </c>
      <c r="L409" s="123" t="str">
        <f t="shared" si="14"/>
        <v>SI</v>
      </c>
      <c r="M409" s="140">
        <f t="shared" si="15"/>
        <v>0.88062766203802312</v>
      </c>
    </row>
    <row r="410" spans="1:13" s="123" customFormat="1" ht="24" customHeight="1">
      <c r="A410" s="26">
        <v>43196</v>
      </c>
      <c r="B410" s="135">
        <v>43196.761914236115</v>
      </c>
      <c r="C410" s="30" t="s">
        <v>14</v>
      </c>
      <c r="D410" s="30"/>
      <c r="E410" s="30">
        <v>15</v>
      </c>
      <c r="F410" s="30">
        <v>6</v>
      </c>
      <c r="G410" s="27">
        <v>0</v>
      </c>
      <c r="H410" s="165">
        <f t="shared" si="34"/>
        <v>1166</v>
      </c>
      <c r="J410" s="127">
        <f t="shared" si="35"/>
        <v>2</v>
      </c>
      <c r="K410" s="128">
        <f t="shared" si="36"/>
        <v>0</v>
      </c>
      <c r="L410" s="123" t="str">
        <f t="shared" si="14"/>
        <v>NO</v>
      </c>
      <c r="M410" s="140">
        <f t="shared" si="15"/>
        <v>0.76191423611453502</v>
      </c>
    </row>
    <row r="411" spans="1:13" s="123" customFormat="1" ht="24" customHeight="1">
      <c r="A411" s="26">
        <v>43196</v>
      </c>
      <c r="B411" s="135">
        <v>43196.743263194447</v>
      </c>
      <c r="C411" s="30" t="s">
        <v>19</v>
      </c>
      <c r="D411" s="30"/>
      <c r="E411" s="30">
        <v>2</v>
      </c>
      <c r="F411" s="30">
        <v>2</v>
      </c>
      <c r="G411" s="27">
        <v>2</v>
      </c>
      <c r="H411" s="165">
        <f t="shared" si="34"/>
        <v>1165</v>
      </c>
      <c r="J411" s="127">
        <f t="shared" si="35"/>
        <v>1</v>
      </c>
      <c r="K411" s="128">
        <f t="shared" si="36"/>
        <v>1</v>
      </c>
      <c r="L411" s="123" t="str">
        <f t="shared" si="14"/>
        <v>NO</v>
      </c>
      <c r="M411" s="140">
        <f t="shared" si="15"/>
        <v>0.74326319444662658</v>
      </c>
    </row>
    <row r="412" spans="1:13" s="123" customFormat="1" ht="24" customHeight="1">
      <c r="A412" s="26">
        <v>43196</v>
      </c>
      <c r="B412" s="135">
        <v>43196.734080092596</v>
      </c>
      <c r="C412" s="30" t="s">
        <v>18</v>
      </c>
      <c r="D412" s="30"/>
      <c r="E412" s="30">
        <v>3</v>
      </c>
      <c r="F412" s="30">
        <v>5</v>
      </c>
      <c r="G412" s="27">
        <v>0</v>
      </c>
      <c r="H412" s="165">
        <f t="shared" si="34"/>
        <v>1164</v>
      </c>
      <c r="J412" s="127">
        <f t="shared" si="35"/>
        <v>2</v>
      </c>
      <c r="K412" s="128">
        <f t="shared" si="36"/>
        <v>0</v>
      </c>
      <c r="L412" s="123" t="str">
        <f t="shared" si="14"/>
        <v>NO</v>
      </c>
      <c r="M412" s="140">
        <f t="shared" si="15"/>
        <v>0.73408009259583196</v>
      </c>
    </row>
    <row r="413" spans="1:13" s="123" customFormat="1" ht="24" customHeight="1">
      <c r="A413" s="26">
        <v>43196</v>
      </c>
      <c r="B413" s="135">
        <v>43196.709729629627</v>
      </c>
      <c r="C413" s="30" t="s">
        <v>35</v>
      </c>
      <c r="D413" s="30"/>
      <c r="E413" s="30">
        <v>1</v>
      </c>
      <c r="F413" s="30">
        <v>0</v>
      </c>
      <c r="G413" s="27">
        <v>0</v>
      </c>
      <c r="H413" s="165">
        <f t="shared" si="34"/>
        <v>1163</v>
      </c>
      <c r="J413" s="127">
        <f t="shared" si="35"/>
        <v>0</v>
      </c>
      <c r="K413" s="128">
        <f t="shared" si="36"/>
        <v>0</v>
      </c>
      <c r="L413" s="123" t="str">
        <f t="shared" si="14"/>
        <v>NO</v>
      </c>
      <c r="M413" s="140">
        <f t="shared" si="15"/>
        <v>0.70972962962696329</v>
      </c>
    </row>
    <row r="414" spans="1:13" s="123" customFormat="1" ht="24" customHeight="1">
      <c r="A414" s="26">
        <v>43196</v>
      </c>
      <c r="B414" s="135">
        <v>43196.707506481478</v>
      </c>
      <c r="C414" s="30" t="s">
        <v>35</v>
      </c>
      <c r="D414" s="30"/>
      <c r="E414" s="30">
        <v>1</v>
      </c>
      <c r="F414" s="30">
        <v>5</v>
      </c>
      <c r="G414" s="27">
        <v>0</v>
      </c>
      <c r="H414" s="31">
        <f t="shared" si="34"/>
        <v>1162</v>
      </c>
      <c r="J414" s="127">
        <f t="shared" si="35"/>
        <v>2</v>
      </c>
      <c r="K414" s="128">
        <f t="shared" si="36"/>
        <v>0</v>
      </c>
      <c r="L414" s="123" t="str">
        <f t="shared" si="14"/>
        <v>NO</v>
      </c>
      <c r="M414" s="140">
        <f t="shared" si="15"/>
        <v>0.70750648147804895</v>
      </c>
    </row>
    <row r="415" spans="1:13" s="123" customFormat="1" ht="24" customHeight="1">
      <c r="A415" s="26">
        <v>43196</v>
      </c>
      <c r="B415" s="135">
        <v>43196.706263425927</v>
      </c>
      <c r="C415" s="30" t="s">
        <v>36</v>
      </c>
      <c r="D415" s="30"/>
      <c r="E415" s="30">
        <v>0</v>
      </c>
      <c r="F415" s="30">
        <v>5</v>
      </c>
      <c r="G415" s="27">
        <v>0</v>
      </c>
      <c r="H415" s="165">
        <f t="shared" si="34"/>
        <v>1161</v>
      </c>
      <c r="J415" s="127">
        <f t="shared" si="35"/>
        <v>2</v>
      </c>
      <c r="K415" s="128">
        <f t="shared" si="36"/>
        <v>0</v>
      </c>
      <c r="L415" s="123" t="str">
        <f t="shared" si="14"/>
        <v>NO</v>
      </c>
      <c r="M415" s="140">
        <f t="shared" si="15"/>
        <v>0.70626342592731817</v>
      </c>
    </row>
    <row r="416" spans="1:13" s="123" customFormat="1" ht="24" customHeight="1">
      <c r="A416" s="26">
        <v>43196</v>
      </c>
      <c r="B416" s="135">
        <v>43196.700046527774</v>
      </c>
      <c r="C416" s="30" t="s">
        <v>24</v>
      </c>
      <c r="D416" s="30"/>
      <c r="E416" s="30">
        <v>0</v>
      </c>
      <c r="F416" s="30">
        <v>5</v>
      </c>
      <c r="G416" s="27">
        <v>0</v>
      </c>
      <c r="H416" s="165">
        <f t="shared" si="34"/>
        <v>1160</v>
      </c>
      <c r="J416" s="127">
        <f t="shared" si="35"/>
        <v>2</v>
      </c>
      <c r="K416" s="128">
        <f t="shared" si="36"/>
        <v>0</v>
      </c>
      <c r="L416" s="123" t="str">
        <f t="shared" si="14"/>
        <v>NO</v>
      </c>
      <c r="M416" s="140">
        <f t="shared" si="15"/>
        <v>0.70004652777424781</v>
      </c>
    </row>
    <row r="417" spans="1:13" s="123" customFormat="1" ht="24" customHeight="1">
      <c r="A417" s="26">
        <v>43196</v>
      </c>
      <c r="B417" s="135">
        <v>43196.698535069445</v>
      </c>
      <c r="C417" s="30" t="s">
        <v>36</v>
      </c>
      <c r="D417" s="30"/>
      <c r="E417" s="30">
        <v>1</v>
      </c>
      <c r="F417" s="30">
        <v>0</v>
      </c>
      <c r="G417" s="27">
        <v>0</v>
      </c>
      <c r="H417" s="31">
        <f t="shared" si="34"/>
        <v>1159</v>
      </c>
      <c r="J417" s="127">
        <f t="shared" si="35"/>
        <v>0</v>
      </c>
      <c r="K417" s="128">
        <f t="shared" si="36"/>
        <v>0</v>
      </c>
      <c r="L417" s="123" t="str">
        <f t="shared" si="14"/>
        <v>NO</v>
      </c>
      <c r="M417" s="140">
        <f t="shared" si="15"/>
        <v>0.69853506944491528</v>
      </c>
    </row>
    <row r="418" spans="1:13" s="123" customFormat="1" ht="24" customHeight="1">
      <c r="A418" s="26">
        <v>43196</v>
      </c>
      <c r="B418" s="135">
        <v>43196.69017303241</v>
      </c>
      <c r="C418" s="30" t="s">
        <v>79</v>
      </c>
      <c r="D418" s="30"/>
      <c r="E418" s="30">
        <v>15</v>
      </c>
      <c r="F418" s="30">
        <v>0</v>
      </c>
      <c r="G418" s="27">
        <v>7</v>
      </c>
      <c r="H418" s="165">
        <f t="shared" si="34"/>
        <v>1158</v>
      </c>
      <c r="J418" s="127">
        <f t="shared" si="35"/>
        <v>0</v>
      </c>
      <c r="K418" s="128">
        <f t="shared" si="36"/>
        <v>4</v>
      </c>
      <c r="L418" s="123" t="str">
        <f t="shared" si="14"/>
        <v>NO</v>
      </c>
      <c r="M418" s="140">
        <f t="shared" si="15"/>
        <v>0.69017303240980254</v>
      </c>
    </row>
    <row r="419" spans="1:13" s="123" customFormat="1" ht="24" customHeight="1">
      <c r="A419" s="26">
        <v>43196</v>
      </c>
      <c r="B419" s="135">
        <v>43196.616952199074</v>
      </c>
      <c r="C419" s="30" t="s">
        <v>33</v>
      </c>
      <c r="D419" s="30"/>
      <c r="E419" s="30">
        <v>7</v>
      </c>
      <c r="F419" s="30">
        <v>7</v>
      </c>
      <c r="G419" s="27">
        <v>0</v>
      </c>
      <c r="H419" s="165">
        <f t="shared" si="34"/>
        <v>1157</v>
      </c>
      <c r="J419" s="127">
        <f t="shared" si="35"/>
        <v>2</v>
      </c>
      <c r="K419" s="128">
        <f t="shared" si="36"/>
        <v>0</v>
      </c>
      <c r="L419" s="123" t="str">
        <f t="shared" si="14"/>
        <v>NO</v>
      </c>
      <c r="M419" s="140">
        <f t="shared" si="15"/>
        <v>0.61695219907414867</v>
      </c>
    </row>
    <row r="420" spans="1:13" s="123" customFormat="1" ht="24" customHeight="1">
      <c r="A420" s="26">
        <v>43196</v>
      </c>
      <c r="B420" s="135">
        <v>43196.603719560182</v>
      </c>
      <c r="C420" s="30" t="s">
        <v>83</v>
      </c>
      <c r="D420" s="30"/>
      <c r="E420" s="30">
        <v>5</v>
      </c>
      <c r="F420" s="30">
        <v>0</v>
      </c>
      <c r="G420" s="27">
        <v>0</v>
      </c>
      <c r="H420" s="31">
        <f t="shared" si="34"/>
        <v>1156</v>
      </c>
      <c r="J420" s="127">
        <f t="shared" si="35"/>
        <v>0</v>
      </c>
      <c r="K420" s="128">
        <f t="shared" si="36"/>
        <v>0</v>
      </c>
      <c r="L420" s="123" t="str">
        <f t="shared" si="14"/>
        <v>NO</v>
      </c>
      <c r="M420" s="140">
        <f t="shared" si="15"/>
        <v>0.60371956018207129</v>
      </c>
    </row>
    <row r="421" spans="1:13" s="123" customFormat="1" ht="24" customHeight="1">
      <c r="A421" s="26">
        <v>43196</v>
      </c>
      <c r="B421" s="135">
        <v>43196.51754375</v>
      </c>
      <c r="C421" s="30" t="s">
        <v>77</v>
      </c>
      <c r="D421" s="30"/>
      <c r="E421" s="30">
        <v>0</v>
      </c>
      <c r="F421" s="30">
        <v>13</v>
      </c>
      <c r="G421" s="27">
        <v>0</v>
      </c>
      <c r="H421" s="165">
        <f t="shared" si="34"/>
        <v>1155</v>
      </c>
      <c r="J421" s="127">
        <f t="shared" si="35"/>
        <v>4</v>
      </c>
      <c r="K421" s="128">
        <f t="shared" si="36"/>
        <v>0</v>
      </c>
      <c r="L421" s="123" t="str">
        <f t="shared" si="14"/>
        <v>NO</v>
      </c>
      <c r="M421" s="140">
        <f t="shared" si="15"/>
        <v>0.51754375000018626</v>
      </c>
    </row>
    <row r="422" spans="1:13" s="123" customFormat="1" ht="24" customHeight="1">
      <c r="A422" s="26">
        <v>43196</v>
      </c>
      <c r="B422" s="135">
        <v>43196.497101620371</v>
      </c>
      <c r="C422" s="30" t="s">
        <v>27</v>
      </c>
      <c r="D422" s="30"/>
      <c r="E422" s="30">
        <v>6</v>
      </c>
      <c r="F422" s="30">
        <v>29</v>
      </c>
      <c r="G422" s="27">
        <v>4</v>
      </c>
      <c r="H422" s="31">
        <f t="shared" si="34"/>
        <v>1154</v>
      </c>
      <c r="J422" s="127">
        <f t="shared" si="35"/>
        <v>8</v>
      </c>
      <c r="K422" s="128">
        <f t="shared" si="36"/>
        <v>2</v>
      </c>
      <c r="L422" s="123" t="str">
        <f t="shared" si="14"/>
        <v>NO</v>
      </c>
      <c r="M422" s="140">
        <f t="shared" si="15"/>
        <v>0.49710162037081318</v>
      </c>
    </row>
    <row r="423" spans="1:13" s="123" customFormat="1" ht="24" customHeight="1">
      <c r="A423" s="26">
        <v>43196</v>
      </c>
      <c r="B423" s="135">
        <v>43196.424391898145</v>
      </c>
      <c r="C423" s="30" t="s">
        <v>13</v>
      </c>
      <c r="D423" s="30"/>
      <c r="E423" s="30">
        <v>14</v>
      </c>
      <c r="F423" s="30">
        <v>20</v>
      </c>
      <c r="G423" s="27">
        <v>13</v>
      </c>
      <c r="H423" s="165">
        <f t="shared" si="34"/>
        <v>1153</v>
      </c>
      <c r="J423" s="127">
        <f t="shared" si="35"/>
        <v>5</v>
      </c>
      <c r="K423" s="128">
        <f t="shared" si="36"/>
        <v>7</v>
      </c>
      <c r="L423" s="123" t="str">
        <f t="shared" si="14"/>
        <v>NO</v>
      </c>
      <c r="M423" s="140">
        <f t="shared" si="15"/>
        <v>0.42439189814467682</v>
      </c>
    </row>
    <row r="424" spans="1:13" s="123" customFormat="1" ht="24" customHeight="1">
      <c r="A424" s="26">
        <v>43196</v>
      </c>
      <c r="B424" s="135">
        <v>43196.377443171295</v>
      </c>
      <c r="C424" s="30" t="s">
        <v>34</v>
      </c>
      <c r="D424" s="30"/>
      <c r="E424" s="30">
        <v>4</v>
      </c>
      <c r="F424" s="30">
        <v>20</v>
      </c>
      <c r="G424" s="27">
        <v>0</v>
      </c>
      <c r="H424" s="165">
        <f t="shared" si="34"/>
        <v>1152</v>
      </c>
      <c r="J424" s="127">
        <f t="shared" si="35"/>
        <v>5</v>
      </c>
      <c r="K424" s="128">
        <f t="shared" si="36"/>
        <v>0</v>
      </c>
      <c r="L424" s="123" t="str">
        <f t="shared" si="14"/>
        <v>NO</v>
      </c>
      <c r="M424" s="140">
        <f t="shared" si="15"/>
        <v>0.37744317129545379</v>
      </c>
    </row>
    <row r="425" spans="1:13" s="123" customFormat="1" ht="24" customHeight="1">
      <c r="A425" s="26">
        <v>43196</v>
      </c>
      <c r="B425" s="135">
        <v>43196.371307060188</v>
      </c>
      <c r="C425" s="30" t="s">
        <v>13</v>
      </c>
      <c r="D425" s="30"/>
      <c r="E425" s="30">
        <v>2</v>
      </c>
      <c r="F425" s="30">
        <v>24</v>
      </c>
      <c r="G425" s="27">
        <v>0</v>
      </c>
      <c r="H425" s="165">
        <f t="shared" si="34"/>
        <v>1151</v>
      </c>
      <c r="J425" s="127">
        <f t="shared" si="35"/>
        <v>6</v>
      </c>
      <c r="K425" s="128">
        <f t="shared" si="36"/>
        <v>0</v>
      </c>
      <c r="L425" s="123" t="str">
        <f t="shared" si="14"/>
        <v>NO</v>
      </c>
      <c r="M425" s="140">
        <f t="shared" si="15"/>
        <v>0.37130706018797355</v>
      </c>
    </row>
    <row r="426" spans="1:13" s="123" customFormat="1" ht="24" customHeight="1">
      <c r="A426" s="26">
        <v>43196</v>
      </c>
      <c r="B426" s="135">
        <v>43196.326470601853</v>
      </c>
      <c r="C426" s="30" t="s">
        <v>13</v>
      </c>
      <c r="D426" s="30"/>
      <c r="E426" s="30">
        <v>0</v>
      </c>
      <c r="F426" s="30">
        <v>10</v>
      </c>
      <c r="G426" s="27">
        <v>0</v>
      </c>
      <c r="H426" s="165">
        <f t="shared" si="34"/>
        <v>1150</v>
      </c>
      <c r="J426" s="127">
        <f t="shared" si="35"/>
        <v>3</v>
      </c>
      <c r="K426" s="128">
        <f t="shared" si="36"/>
        <v>0</v>
      </c>
      <c r="L426" s="123" t="str">
        <f t="shared" si="14"/>
        <v>NO</v>
      </c>
      <c r="M426" s="140">
        <f t="shared" si="15"/>
        <v>0.32647060185263399</v>
      </c>
    </row>
    <row r="427" spans="1:13" s="123" customFormat="1" ht="24" customHeight="1">
      <c r="A427" s="26">
        <v>43195</v>
      </c>
      <c r="B427" s="135">
        <v>43195.952503935187</v>
      </c>
      <c r="C427" s="30" t="s">
        <v>11</v>
      </c>
      <c r="D427" s="30"/>
      <c r="E427" s="30">
        <v>0</v>
      </c>
      <c r="F427" s="30">
        <v>15</v>
      </c>
      <c r="G427" s="27">
        <v>1</v>
      </c>
      <c r="H427" s="165">
        <f t="shared" si="34"/>
        <v>1149</v>
      </c>
      <c r="J427" s="127">
        <f t="shared" si="35"/>
        <v>4</v>
      </c>
      <c r="K427" s="128">
        <f t="shared" si="36"/>
        <v>1</v>
      </c>
      <c r="L427" s="123" t="str">
        <f t="shared" si="14"/>
        <v>SI</v>
      </c>
      <c r="M427" s="140">
        <f t="shared" si="15"/>
        <v>0.95250393518654164</v>
      </c>
    </row>
    <row r="428" spans="1:13" s="123" customFormat="1" ht="24" customHeight="1">
      <c r="A428" s="26">
        <v>43195</v>
      </c>
      <c r="B428" s="135">
        <v>43195.88653275463</v>
      </c>
      <c r="C428" s="30" t="s">
        <v>36</v>
      </c>
      <c r="D428" s="30"/>
      <c r="E428" s="30">
        <v>4</v>
      </c>
      <c r="F428" s="30">
        <v>10</v>
      </c>
      <c r="G428" s="27">
        <v>0</v>
      </c>
      <c r="H428" s="165">
        <f t="shared" si="34"/>
        <v>1148</v>
      </c>
      <c r="J428" s="127">
        <f t="shared" si="35"/>
        <v>3</v>
      </c>
      <c r="K428" s="128">
        <f t="shared" si="36"/>
        <v>0</v>
      </c>
      <c r="L428" s="123" t="str">
        <f t="shared" si="14"/>
        <v>SI</v>
      </c>
      <c r="M428" s="140">
        <f t="shared" si="15"/>
        <v>0.88653275463002501</v>
      </c>
    </row>
    <row r="429" spans="1:13" s="123" customFormat="1" ht="24" customHeight="1">
      <c r="A429" s="26">
        <v>43195</v>
      </c>
      <c r="B429" s="135">
        <v>43195.833735995373</v>
      </c>
      <c r="C429" s="30" t="s">
        <v>28</v>
      </c>
      <c r="D429" s="30"/>
      <c r="E429" s="30">
        <v>5</v>
      </c>
      <c r="F429" s="30">
        <v>32</v>
      </c>
      <c r="G429" s="27">
        <v>0</v>
      </c>
      <c r="H429" s="165">
        <f t="shared" si="34"/>
        <v>1147</v>
      </c>
      <c r="J429" s="127">
        <f t="shared" si="35"/>
        <v>8</v>
      </c>
      <c r="K429" s="128">
        <f t="shared" si="36"/>
        <v>0</v>
      </c>
      <c r="L429" s="123" t="str">
        <f t="shared" si="14"/>
        <v>SI</v>
      </c>
      <c r="M429" s="140">
        <f t="shared" si="15"/>
        <v>0.83373599537299015</v>
      </c>
    </row>
    <row r="430" spans="1:13" s="123" customFormat="1" ht="24" customHeight="1">
      <c r="A430" s="26">
        <v>43195</v>
      </c>
      <c r="B430" s="135">
        <v>43195.747194675925</v>
      </c>
      <c r="C430" s="30" t="s">
        <v>14</v>
      </c>
      <c r="D430" s="30"/>
      <c r="E430" s="30">
        <v>8</v>
      </c>
      <c r="F430" s="30">
        <v>7</v>
      </c>
      <c r="G430" s="27">
        <v>0</v>
      </c>
      <c r="H430" s="165">
        <f t="shared" ref="H430:H461" si="37">+H431+1</f>
        <v>1146</v>
      </c>
      <c r="J430" s="127">
        <f t="shared" ref="J430:J458" si="38">+ROUNDUP(F430/4,0)</f>
        <v>2</v>
      </c>
      <c r="K430" s="128">
        <f t="shared" ref="K430:K458" si="39">+ROUNDUP(G430/2,0)</f>
        <v>0</v>
      </c>
      <c r="L430" s="123" t="str">
        <f t="shared" si="14"/>
        <v>NO</v>
      </c>
      <c r="M430" s="140">
        <f t="shared" si="15"/>
        <v>0.74719467592512956</v>
      </c>
    </row>
    <row r="431" spans="1:13" s="123" customFormat="1" ht="24" customHeight="1">
      <c r="A431" s="26">
        <v>43195</v>
      </c>
      <c r="B431" s="135">
        <v>43195.716296180559</v>
      </c>
      <c r="C431" s="30" t="s">
        <v>18</v>
      </c>
      <c r="D431" s="30"/>
      <c r="E431" s="30">
        <v>3</v>
      </c>
      <c r="F431" s="30">
        <v>8</v>
      </c>
      <c r="G431" s="27">
        <v>2</v>
      </c>
      <c r="H431" s="165">
        <f t="shared" si="37"/>
        <v>1145</v>
      </c>
      <c r="J431" s="127">
        <f t="shared" si="38"/>
        <v>2</v>
      </c>
      <c r="K431" s="128">
        <f t="shared" si="39"/>
        <v>1</v>
      </c>
      <c r="L431" s="123" t="str">
        <f t="shared" si="14"/>
        <v>NO</v>
      </c>
      <c r="M431" s="140">
        <f t="shared" si="15"/>
        <v>0.71629618055885658</v>
      </c>
    </row>
    <row r="432" spans="1:13" s="123" customFormat="1" ht="24" customHeight="1">
      <c r="A432" s="26">
        <v>43195</v>
      </c>
      <c r="B432" s="135">
        <v>43195.702580787038</v>
      </c>
      <c r="C432" s="30" t="s">
        <v>22</v>
      </c>
      <c r="D432" s="30"/>
      <c r="E432" s="30">
        <v>4</v>
      </c>
      <c r="F432" s="30">
        <v>14</v>
      </c>
      <c r="G432" s="27">
        <v>0</v>
      </c>
      <c r="H432" s="165">
        <f t="shared" si="37"/>
        <v>1144</v>
      </c>
      <c r="J432" s="127">
        <f t="shared" si="38"/>
        <v>4</v>
      </c>
      <c r="K432" s="128">
        <f t="shared" si="39"/>
        <v>0</v>
      </c>
      <c r="L432" s="123" t="str">
        <f t="shared" si="14"/>
        <v>NO</v>
      </c>
      <c r="M432" s="140">
        <f t="shared" si="15"/>
        <v>0.70258078703773208</v>
      </c>
    </row>
    <row r="433" spans="1:13" s="123" customFormat="1" ht="24" customHeight="1">
      <c r="A433" s="26">
        <v>43195</v>
      </c>
      <c r="B433" s="135">
        <v>43195.697466782411</v>
      </c>
      <c r="C433" s="30" t="s">
        <v>20</v>
      </c>
      <c r="D433" s="30"/>
      <c r="E433" s="30">
        <v>2</v>
      </c>
      <c r="F433" s="30">
        <v>6</v>
      </c>
      <c r="G433" s="27">
        <v>4</v>
      </c>
      <c r="H433" s="165">
        <f t="shared" si="37"/>
        <v>1143</v>
      </c>
      <c r="J433" s="127">
        <f t="shared" si="38"/>
        <v>2</v>
      </c>
      <c r="K433" s="128">
        <f t="shared" si="39"/>
        <v>2</v>
      </c>
      <c r="L433" s="123" t="str">
        <f t="shared" si="14"/>
        <v>NO</v>
      </c>
      <c r="M433" s="140">
        <f t="shared" si="15"/>
        <v>0.69746678241062909</v>
      </c>
    </row>
    <row r="434" spans="1:13" s="123" customFormat="1" ht="24" customHeight="1">
      <c r="A434" s="26">
        <v>43195</v>
      </c>
      <c r="B434" s="135">
        <v>43195.637207291664</v>
      </c>
      <c r="C434" s="30" t="s">
        <v>19</v>
      </c>
      <c r="D434" s="30"/>
      <c r="E434" s="30">
        <v>1</v>
      </c>
      <c r="F434" s="30">
        <v>12</v>
      </c>
      <c r="G434" s="27">
        <v>2</v>
      </c>
      <c r="H434" s="165">
        <f t="shared" si="37"/>
        <v>1142</v>
      </c>
      <c r="J434" s="127">
        <f t="shared" si="38"/>
        <v>3</v>
      </c>
      <c r="K434" s="128">
        <f t="shared" si="39"/>
        <v>1</v>
      </c>
      <c r="L434" s="123" t="str">
        <f t="shared" si="14"/>
        <v>NO</v>
      </c>
      <c r="M434" s="140">
        <f t="shared" si="15"/>
        <v>0.63720729166379897</v>
      </c>
    </row>
    <row r="435" spans="1:13" s="123" customFormat="1" ht="24" customHeight="1">
      <c r="A435" s="26">
        <v>43195</v>
      </c>
      <c r="B435" s="135">
        <v>43195.633988194444</v>
      </c>
      <c r="C435" s="30" t="s">
        <v>122</v>
      </c>
      <c r="D435" s="30"/>
      <c r="E435" s="30">
        <v>0</v>
      </c>
      <c r="F435" s="30">
        <v>1</v>
      </c>
      <c r="G435" s="27">
        <v>0</v>
      </c>
      <c r="H435" s="31">
        <f t="shared" si="37"/>
        <v>1141</v>
      </c>
      <c r="J435" s="127">
        <f t="shared" si="38"/>
        <v>1</v>
      </c>
      <c r="K435" s="128">
        <f t="shared" si="39"/>
        <v>0</v>
      </c>
      <c r="L435" s="123" t="str">
        <f t="shared" si="14"/>
        <v>NO</v>
      </c>
      <c r="M435" s="140">
        <f t="shared" si="15"/>
        <v>0.63398819444410037</v>
      </c>
    </row>
    <row r="436" spans="1:13" s="123" customFormat="1" ht="24" customHeight="1">
      <c r="A436" s="26">
        <v>43195</v>
      </c>
      <c r="B436" s="135">
        <v>43195.626095601852</v>
      </c>
      <c r="C436" s="30" t="s">
        <v>33</v>
      </c>
      <c r="D436" s="30"/>
      <c r="E436" s="30">
        <v>9</v>
      </c>
      <c r="F436" s="30">
        <v>18</v>
      </c>
      <c r="G436" s="27">
        <v>0</v>
      </c>
      <c r="H436" s="165">
        <f t="shared" si="37"/>
        <v>1140</v>
      </c>
      <c r="J436" s="127">
        <f t="shared" si="38"/>
        <v>5</v>
      </c>
      <c r="K436" s="128">
        <f t="shared" si="39"/>
        <v>0</v>
      </c>
      <c r="L436" s="123" t="str">
        <f t="shared" si="14"/>
        <v>NO</v>
      </c>
      <c r="M436" s="140">
        <f t="shared" si="15"/>
        <v>0.62609560185228474</v>
      </c>
    </row>
    <row r="437" spans="1:13" s="123" customFormat="1" ht="24" customHeight="1">
      <c r="A437" s="26">
        <v>43195</v>
      </c>
      <c r="B437" s="135">
        <v>43195.622652777776</v>
      </c>
      <c r="C437" s="30" t="s">
        <v>24</v>
      </c>
      <c r="D437" s="30"/>
      <c r="E437" s="30">
        <v>0</v>
      </c>
      <c r="F437" s="30">
        <v>4</v>
      </c>
      <c r="G437" s="27">
        <v>0</v>
      </c>
      <c r="H437" s="165">
        <f t="shared" si="37"/>
        <v>1139</v>
      </c>
      <c r="J437" s="127">
        <f t="shared" si="38"/>
        <v>1</v>
      </c>
      <c r="K437" s="128">
        <f t="shared" si="39"/>
        <v>0</v>
      </c>
      <c r="L437" s="123" t="str">
        <f t="shared" si="14"/>
        <v>NO</v>
      </c>
      <c r="M437" s="140">
        <f t="shared" si="15"/>
        <v>0.62265277777623851</v>
      </c>
    </row>
    <row r="438" spans="1:13" s="123" customFormat="1" ht="24" customHeight="1">
      <c r="A438" s="26">
        <v>43195</v>
      </c>
      <c r="B438" s="135">
        <v>43195.593008796299</v>
      </c>
      <c r="C438" s="30" t="s">
        <v>36</v>
      </c>
      <c r="D438" s="30"/>
      <c r="E438" s="30">
        <v>0</v>
      </c>
      <c r="F438" s="30">
        <v>6</v>
      </c>
      <c r="G438" s="27">
        <v>0</v>
      </c>
      <c r="H438" s="165">
        <f t="shared" si="37"/>
        <v>1138</v>
      </c>
      <c r="J438" s="127">
        <f t="shared" si="38"/>
        <v>2</v>
      </c>
      <c r="K438" s="128">
        <f t="shared" si="39"/>
        <v>0</v>
      </c>
      <c r="L438" s="123" t="str">
        <f t="shared" si="14"/>
        <v>NO</v>
      </c>
      <c r="M438" s="140">
        <f t="shared" si="15"/>
        <v>0.5930087962988182</v>
      </c>
    </row>
    <row r="439" spans="1:13" s="123" customFormat="1" ht="24" customHeight="1">
      <c r="A439" s="26">
        <v>43195</v>
      </c>
      <c r="B439" s="135">
        <v>43195.544681944448</v>
      </c>
      <c r="C439" s="30" t="s">
        <v>36</v>
      </c>
      <c r="D439" s="30"/>
      <c r="E439" s="30">
        <v>0</v>
      </c>
      <c r="F439" s="30">
        <v>3</v>
      </c>
      <c r="G439" s="27">
        <v>0</v>
      </c>
      <c r="H439" s="165">
        <f t="shared" si="37"/>
        <v>1137</v>
      </c>
      <c r="J439" s="127">
        <f t="shared" si="38"/>
        <v>1</v>
      </c>
      <c r="K439" s="128">
        <f t="shared" si="39"/>
        <v>0</v>
      </c>
      <c r="L439" s="123" t="str">
        <f t="shared" si="14"/>
        <v>NO</v>
      </c>
      <c r="M439" s="140">
        <f t="shared" si="15"/>
        <v>0.54468194444780238</v>
      </c>
    </row>
    <row r="440" spans="1:13" s="123" customFormat="1" ht="24" customHeight="1">
      <c r="A440" s="26">
        <v>43195</v>
      </c>
      <c r="B440" s="135">
        <v>43195.536301851855</v>
      </c>
      <c r="C440" s="30" t="s">
        <v>27</v>
      </c>
      <c r="D440" s="30"/>
      <c r="E440" s="30">
        <v>7</v>
      </c>
      <c r="F440" s="30">
        <v>11</v>
      </c>
      <c r="G440" s="27">
        <v>4</v>
      </c>
      <c r="H440" s="31">
        <f t="shared" si="37"/>
        <v>1136</v>
      </c>
      <c r="J440" s="127">
        <f t="shared" si="38"/>
        <v>3</v>
      </c>
      <c r="K440" s="128">
        <f t="shared" si="39"/>
        <v>2</v>
      </c>
      <c r="L440" s="123" t="str">
        <f t="shared" si="14"/>
        <v>NO</v>
      </c>
      <c r="M440" s="140">
        <f t="shared" si="15"/>
        <v>0.53630185185465962</v>
      </c>
    </row>
    <row r="441" spans="1:13" s="123" customFormat="1" ht="24" customHeight="1">
      <c r="A441" s="26">
        <v>43195</v>
      </c>
      <c r="B441" s="135">
        <v>43195.509406712961</v>
      </c>
      <c r="C441" s="30" t="s">
        <v>78</v>
      </c>
      <c r="D441" s="30"/>
      <c r="E441" s="30">
        <v>4</v>
      </c>
      <c r="F441" s="30">
        <v>6</v>
      </c>
      <c r="G441" s="27">
        <v>0</v>
      </c>
      <c r="H441" s="31">
        <f t="shared" si="37"/>
        <v>1135</v>
      </c>
      <c r="J441" s="127">
        <f t="shared" si="38"/>
        <v>2</v>
      </c>
      <c r="K441" s="128">
        <f t="shared" si="39"/>
        <v>0</v>
      </c>
      <c r="L441" s="123" t="str">
        <f t="shared" si="14"/>
        <v>NO</v>
      </c>
      <c r="M441" s="140">
        <f t="shared" si="15"/>
        <v>0.50940671296120854</v>
      </c>
    </row>
    <row r="442" spans="1:13" s="123" customFormat="1" ht="24" customHeight="1">
      <c r="A442" s="26">
        <v>43195</v>
      </c>
      <c r="B442" s="135">
        <v>43195.497499537036</v>
      </c>
      <c r="C442" s="30" t="s">
        <v>79</v>
      </c>
      <c r="D442" s="30"/>
      <c r="E442" s="30">
        <v>0</v>
      </c>
      <c r="F442" s="30">
        <v>7</v>
      </c>
      <c r="G442" s="27">
        <v>7</v>
      </c>
      <c r="H442" s="165">
        <f t="shared" si="37"/>
        <v>1134</v>
      </c>
      <c r="J442" s="127">
        <f t="shared" si="38"/>
        <v>2</v>
      </c>
      <c r="K442" s="128">
        <f t="shared" si="39"/>
        <v>4</v>
      </c>
      <c r="L442" s="123" t="str">
        <f t="shared" si="14"/>
        <v>NO</v>
      </c>
      <c r="M442" s="140">
        <f t="shared" si="15"/>
        <v>0.49749953703576466</v>
      </c>
    </row>
    <row r="443" spans="1:13" s="123" customFormat="1" ht="24" customHeight="1">
      <c r="A443" s="26">
        <v>43195</v>
      </c>
      <c r="B443" s="135">
        <v>43195.476136342593</v>
      </c>
      <c r="C443" s="30" t="s">
        <v>13</v>
      </c>
      <c r="D443" s="30"/>
      <c r="E443" s="30">
        <v>14</v>
      </c>
      <c r="F443" s="30">
        <v>20</v>
      </c>
      <c r="G443" s="27">
        <v>1</v>
      </c>
      <c r="H443" s="165">
        <f t="shared" si="37"/>
        <v>1133</v>
      </c>
      <c r="J443" s="127">
        <f t="shared" si="38"/>
        <v>5</v>
      </c>
      <c r="K443" s="128">
        <f t="shared" si="39"/>
        <v>1</v>
      </c>
      <c r="L443" s="123" t="str">
        <f t="shared" si="14"/>
        <v>NO</v>
      </c>
      <c r="M443" s="140">
        <f t="shared" si="15"/>
        <v>0.4761363425932359</v>
      </c>
    </row>
    <row r="444" spans="1:13" s="123" customFormat="1" ht="24" customHeight="1">
      <c r="A444" s="26">
        <v>43195</v>
      </c>
      <c r="B444" s="135">
        <v>43195.432172569446</v>
      </c>
      <c r="C444" s="30" t="s">
        <v>13</v>
      </c>
      <c r="D444" s="30"/>
      <c r="E444" s="30">
        <v>21</v>
      </c>
      <c r="F444" s="30">
        <v>16</v>
      </c>
      <c r="G444" s="27">
        <v>3</v>
      </c>
      <c r="H444" s="165">
        <f t="shared" si="37"/>
        <v>1132</v>
      </c>
      <c r="J444" s="127">
        <f t="shared" si="38"/>
        <v>4</v>
      </c>
      <c r="K444" s="128">
        <f t="shared" si="39"/>
        <v>2</v>
      </c>
      <c r="L444" s="123" t="str">
        <f t="shared" si="14"/>
        <v>NO</v>
      </c>
      <c r="M444" s="140">
        <f t="shared" si="15"/>
        <v>0.4321725694462657</v>
      </c>
    </row>
    <row r="445" spans="1:13" s="123" customFormat="1" ht="24" customHeight="1">
      <c r="A445" s="26">
        <v>43195</v>
      </c>
      <c r="B445" s="135">
        <v>43195.404535995367</v>
      </c>
      <c r="C445" s="30" t="s">
        <v>113</v>
      </c>
      <c r="D445" s="30"/>
      <c r="E445" s="30">
        <v>1</v>
      </c>
      <c r="F445" s="30">
        <v>0</v>
      </c>
      <c r="G445" s="27">
        <v>0</v>
      </c>
      <c r="H445" s="31">
        <f t="shared" si="37"/>
        <v>1131</v>
      </c>
      <c r="J445" s="127">
        <f t="shared" si="38"/>
        <v>0</v>
      </c>
      <c r="K445" s="128">
        <f t="shared" si="39"/>
        <v>0</v>
      </c>
      <c r="L445" s="123" t="str">
        <f t="shared" si="14"/>
        <v>NO</v>
      </c>
      <c r="M445" s="140">
        <f t="shared" si="15"/>
        <v>0.40453599536704132</v>
      </c>
    </row>
    <row r="446" spans="1:13" s="123" customFormat="1" ht="24" customHeight="1">
      <c r="A446" s="26">
        <v>43195</v>
      </c>
      <c r="B446" s="135">
        <v>43195.404097569444</v>
      </c>
      <c r="C446" s="30" t="s">
        <v>113</v>
      </c>
      <c r="D446" s="30"/>
      <c r="E446" s="30">
        <v>1</v>
      </c>
      <c r="F446" s="30">
        <v>0</v>
      </c>
      <c r="G446" s="27">
        <v>0</v>
      </c>
      <c r="H446" s="31">
        <f t="shared" si="37"/>
        <v>1130</v>
      </c>
      <c r="J446" s="127">
        <f t="shared" si="38"/>
        <v>0</v>
      </c>
      <c r="K446" s="128">
        <f t="shared" si="39"/>
        <v>0</v>
      </c>
      <c r="L446" s="123" t="str">
        <f t="shared" si="14"/>
        <v>NO</v>
      </c>
      <c r="M446" s="140">
        <f t="shared" si="15"/>
        <v>0.404097569444275</v>
      </c>
    </row>
    <row r="447" spans="1:13" s="123" customFormat="1" ht="24" customHeight="1">
      <c r="A447" s="26">
        <v>43195</v>
      </c>
      <c r="B447" s="135">
        <v>43195.373051504626</v>
      </c>
      <c r="C447" s="30" t="s">
        <v>13</v>
      </c>
      <c r="D447" s="30"/>
      <c r="E447" s="30">
        <v>3</v>
      </c>
      <c r="F447" s="30">
        <v>12</v>
      </c>
      <c r="G447" s="27">
        <v>0</v>
      </c>
      <c r="H447" s="165">
        <f t="shared" si="37"/>
        <v>1129</v>
      </c>
      <c r="J447" s="127">
        <f t="shared" si="38"/>
        <v>3</v>
      </c>
      <c r="K447" s="128">
        <f t="shared" si="39"/>
        <v>0</v>
      </c>
      <c r="L447" s="123" t="str">
        <f t="shared" si="14"/>
        <v>NO</v>
      </c>
      <c r="M447" s="140">
        <f t="shared" si="15"/>
        <v>0.37305150462634629</v>
      </c>
    </row>
    <row r="448" spans="1:13" s="123" customFormat="1" ht="24" customHeight="1">
      <c r="A448" s="26">
        <v>43195</v>
      </c>
      <c r="B448" s="135">
        <v>43195.332938541665</v>
      </c>
      <c r="C448" s="30" t="s">
        <v>34</v>
      </c>
      <c r="D448" s="30"/>
      <c r="E448" s="30">
        <v>3</v>
      </c>
      <c r="F448" s="30">
        <v>32</v>
      </c>
      <c r="G448" s="27">
        <v>0</v>
      </c>
      <c r="H448" s="165">
        <f t="shared" si="37"/>
        <v>1128</v>
      </c>
      <c r="J448" s="127">
        <f t="shared" si="38"/>
        <v>8</v>
      </c>
      <c r="K448" s="128">
        <f t="shared" si="39"/>
        <v>0</v>
      </c>
      <c r="L448" s="123" t="str">
        <f t="shared" si="14"/>
        <v>NO</v>
      </c>
      <c r="M448" s="140">
        <f t="shared" si="15"/>
        <v>0.33293854166549863</v>
      </c>
    </row>
    <row r="449" spans="1:13" s="123" customFormat="1" ht="24" customHeight="1">
      <c r="A449" s="26">
        <v>43195</v>
      </c>
      <c r="B449" s="135">
        <v>43195.121810416669</v>
      </c>
      <c r="C449" s="30" t="s">
        <v>13</v>
      </c>
      <c r="D449" s="30"/>
      <c r="E449" s="30">
        <v>4</v>
      </c>
      <c r="F449" s="30">
        <v>20</v>
      </c>
      <c r="G449" s="27">
        <v>2</v>
      </c>
      <c r="H449" s="165">
        <f t="shared" si="37"/>
        <v>1127</v>
      </c>
      <c r="J449" s="127">
        <f t="shared" si="38"/>
        <v>5</v>
      </c>
      <c r="K449" s="128">
        <f t="shared" si="39"/>
        <v>1</v>
      </c>
      <c r="L449" s="123" t="str">
        <f t="shared" si="14"/>
        <v>NO</v>
      </c>
      <c r="M449" s="140">
        <f t="shared" si="15"/>
        <v>0.12181041666917736</v>
      </c>
    </row>
    <row r="450" spans="1:13" s="123" customFormat="1" ht="24" customHeight="1">
      <c r="A450" s="26">
        <v>43195</v>
      </c>
      <c r="B450" s="135">
        <v>43195.103143402775</v>
      </c>
      <c r="C450" s="30" t="s">
        <v>13</v>
      </c>
      <c r="D450" s="30"/>
      <c r="E450" s="30">
        <v>4</v>
      </c>
      <c r="F450" s="30">
        <v>20</v>
      </c>
      <c r="G450" s="27">
        <v>0</v>
      </c>
      <c r="H450" s="165">
        <f t="shared" si="37"/>
        <v>1126</v>
      </c>
      <c r="J450" s="127">
        <f t="shared" si="38"/>
        <v>5</v>
      </c>
      <c r="K450" s="128">
        <f t="shared" si="39"/>
        <v>0</v>
      </c>
      <c r="L450" s="123" t="str">
        <f t="shared" si="14"/>
        <v>NO</v>
      </c>
      <c r="M450" s="140">
        <f t="shared" si="15"/>
        <v>0.10314340277545853</v>
      </c>
    </row>
    <row r="451" spans="1:13" s="123" customFormat="1" ht="24" customHeight="1">
      <c r="A451" s="26">
        <v>43194</v>
      </c>
      <c r="B451" s="135">
        <v>43194.936545486111</v>
      </c>
      <c r="C451" s="30" t="s">
        <v>36</v>
      </c>
      <c r="D451" s="30"/>
      <c r="E451" s="30">
        <v>0</v>
      </c>
      <c r="F451" s="30">
        <v>6</v>
      </c>
      <c r="G451" s="27">
        <v>0</v>
      </c>
      <c r="H451" s="165">
        <f t="shared" si="37"/>
        <v>1125</v>
      </c>
      <c r="J451" s="127">
        <f t="shared" si="38"/>
        <v>2</v>
      </c>
      <c r="K451" s="128">
        <f t="shared" si="39"/>
        <v>0</v>
      </c>
      <c r="L451" s="123" t="str">
        <f t="shared" si="14"/>
        <v>SI</v>
      </c>
      <c r="M451" s="140">
        <f t="shared" si="15"/>
        <v>0.93654548611084465</v>
      </c>
    </row>
    <row r="452" spans="1:13" s="123" customFormat="1" ht="24" customHeight="1">
      <c r="A452" s="26">
        <v>43194</v>
      </c>
      <c r="B452" s="135">
        <v>43194.869997800924</v>
      </c>
      <c r="C452" s="30" t="s">
        <v>36</v>
      </c>
      <c r="D452" s="30"/>
      <c r="E452" s="30">
        <v>1</v>
      </c>
      <c r="F452" s="30">
        <v>15</v>
      </c>
      <c r="G452" s="27">
        <v>0</v>
      </c>
      <c r="H452" s="165">
        <f t="shared" si="37"/>
        <v>1124</v>
      </c>
      <c r="J452" s="127">
        <f t="shared" si="38"/>
        <v>4</v>
      </c>
      <c r="K452" s="128">
        <f t="shared" si="39"/>
        <v>0</v>
      </c>
      <c r="L452" s="123" t="str">
        <f t="shared" si="14"/>
        <v>SI</v>
      </c>
      <c r="M452" s="140">
        <f t="shared" si="15"/>
        <v>0.86999780092446599</v>
      </c>
    </row>
    <row r="453" spans="1:13" s="123" customFormat="1" ht="24" customHeight="1">
      <c r="A453" s="26">
        <v>43194</v>
      </c>
      <c r="B453" s="135">
        <v>43194.864329166667</v>
      </c>
      <c r="C453" s="30" t="s">
        <v>89</v>
      </c>
      <c r="D453" s="30"/>
      <c r="E453" s="30">
        <v>6</v>
      </c>
      <c r="F453" s="30">
        <v>10</v>
      </c>
      <c r="G453" s="27">
        <v>0</v>
      </c>
      <c r="H453" s="31">
        <f t="shared" si="37"/>
        <v>1123</v>
      </c>
      <c r="J453" s="127">
        <f t="shared" si="38"/>
        <v>3</v>
      </c>
      <c r="K453" s="128">
        <f t="shared" si="39"/>
        <v>0</v>
      </c>
      <c r="L453" s="123" t="str">
        <f t="shared" si="14"/>
        <v>SI</v>
      </c>
      <c r="M453" s="140">
        <f t="shared" si="15"/>
        <v>0.86432916666672099</v>
      </c>
    </row>
    <row r="454" spans="1:13" s="123" customFormat="1" ht="24" customHeight="1">
      <c r="A454" s="26">
        <v>43194</v>
      </c>
      <c r="B454" s="135">
        <v>43194.838320370371</v>
      </c>
      <c r="C454" s="30" t="s">
        <v>28</v>
      </c>
      <c r="D454" s="30"/>
      <c r="E454" s="30">
        <v>8</v>
      </c>
      <c r="F454" s="30">
        <v>8</v>
      </c>
      <c r="G454" s="27">
        <v>0</v>
      </c>
      <c r="H454" s="165">
        <f t="shared" si="37"/>
        <v>1122</v>
      </c>
      <c r="J454" s="127">
        <f t="shared" si="38"/>
        <v>2</v>
      </c>
      <c r="K454" s="128">
        <f t="shared" si="39"/>
        <v>0</v>
      </c>
      <c r="L454" s="123" t="str">
        <f t="shared" si="14"/>
        <v>SI</v>
      </c>
      <c r="M454" s="140">
        <f t="shared" si="15"/>
        <v>0.83832037037063856</v>
      </c>
    </row>
    <row r="455" spans="1:13" s="123" customFormat="1" ht="24" customHeight="1">
      <c r="A455" s="26">
        <v>43194</v>
      </c>
      <c r="B455" s="135">
        <v>43194.818216087966</v>
      </c>
      <c r="C455" s="30" t="s">
        <v>24</v>
      </c>
      <c r="D455" s="30"/>
      <c r="E455" s="30">
        <v>7</v>
      </c>
      <c r="F455" s="30">
        <v>13</v>
      </c>
      <c r="G455" s="27">
        <v>0</v>
      </c>
      <c r="H455" s="165">
        <f t="shared" si="37"/>
        <v>1121</v>
      </c>
      <c r="J455" s="127">
        <f t="shared" si="38"/>
        <v>4</v>
      </c>
      <c r="K455" s="128">
        <f t="shared" si="39"/>
        <v>0</v>
      </c>
      <c r="L455" s="123" t="str">
        <f t="shared" si="14"/>
        <v>SI</v>
      </c>
      <c r="M455" s="140">
        <f t="shared" si="15"/>
        <v>0.81821608796599321</v>
      </c>
    </row>
    <row r="456" spans="1:13" s="123" customFormat="1" ht="24" customHeight="1">
      <c r="A456" s="26">
        <v>43194</v>
      </c>
      <c r="B456" s="135">
        <v>43194.796761226855</v>
      </c>
      <c r="C456" s="30" t="s">
        <v>20</v>
      </c>
      <c r="D456" s="30"/>
      <c r="E456" s="30">
        <v>5</v>
      </c>
      <c r="F456" s="30">
        <v>7</v>
      </c>
      <c r="G456" s="27">
        <v>0</v>
      </c>
      <c r="H456" s="165">
        <f t="shared" si="37"/>
        <v>1120</v>
      </c>
      <c r="J456" s="127">
        <f t="shared" si="38"/>
        <v>2</v>
      </c>
      <c r="K456" s="128">
        <f t="shared" si="39"/>
        <v>0</v>
      </c>
      <c r="L456" s="123" t="str">
        <f t="shared" si="14"/>
        <v>SI</v>
      </c>
      <c r="M456" s="140">
        <f t="shared" si="15"/>
        <v>0.79676122685486916</v>
      </c>
    </row>
    <row r="457" spans="1:13" s="123" customFormat="1" ht="24" customHeight="1">
      <c r="A457" s="26">
        <v>43194</v>
      </c>
      <c r="B457" s="135">
        <v>43194.783049421298</v>
      </c>
      <c r="C457" s="30" t="s">
        <v>11</v>
      </c>
      <c r="D457" s="30"/>
      <c r="E457" s="30">
        <v>2</v>
      </c>
      <c r="F457" s="30">
        <v>14</v>
      </c>
      <c r="G457" s="27">
        <v>2</v>
      </c>
      <c r="H457" s="165">
        <f t="shared" si="37"/>
        <v>1119</v>
      </c>
      <c r="J457" s="127">
        <f t="shared" si="38"/>
        <v>4</v>
      </c>
      <c r="K457" s="128">
        <f t="shared" si="39"/>
        <v>1</v>
      </c>
      <c r="L457" s="123" t="str">
        <f t="shared" si="14"/>
        <v>NO</v>
      </c>
      <c r="M457" s="140">
        <f t="shared" si="15"/>
        <v>0.78304942129761912</v>
      </c>
    </row>
    <row r="458" spans="1:13" s="123" customFormat="1" ht="24" customHeight="1">
      <c r="A458" s="26">
        <v>43194</v>
      </c>
      <c r="B458" s="135">
        <v>43194.775897916668</v>
      </c>
      <c r="C458" s="30" t="s">
        <v>14</v>
      </c>
      <c r="D458" s="30"/>
      <c r="E458" s="30">
        <v>3</v>
      </c>
      <c r="F458" s="30">
        <v>3</v>
      </c>
      <c r="G458" s="27">
        <v>4</v>
      </c>
      <c r="H458" s="165">
        <f t="shared" si="37"/>
        <v>1118</v>
      </c>
      <c r="J458" s="127">
        <f t="shared" si="38"/>
        <v>1</v>
      </c>
      <c r="K458" s="128">
        <f t="shared" si="39"/>
        <v>2</v>
      </c>
      <c r="L458" s="123" t="str">
        <f t="shared" si="14"/>
        <v>NO</v>
      </c>
      <c r="M458" s="140">
        <f t="shared" si="15"/>
        <v>0.77589791666832753</v>
      </c>
    </row>
    <row r="459" spans="1:13" s="123" customFormat="1" ht="24" customHeight="1">
      <c r="A459" s="26">
        <v>43194</v>
      </c>
      <c r="B459" s="135">
        <v>43194.638162499999</v>
      </c>
      <c r="C459" s="30" t="s">
        <v>78</v>
      </c>
      <c r="D459" s="30"/>
      <c r="E459" s="30">
        <v>0</v>
      </c>
      <c r="F459" s="30">
        <v>4</v>
      </c>
      <c r="G459" s="27">
        <v>0</v>
      </c>
      <c r="H459" s="31">
        <f t="shared" si="37"/>
        <v>1117</v>
      </c>
      <c r="J459" s="127">
        <f t="shared" ref="J459:J460" si="40">+ROUNDUP(F459/4,0)</f>
        <v>1</v>
      </c>
      <c r="K459" s="128">
        <f t="shared" ref="K459:K460" si="41">+ROUNDUP(G459/2,0)</f>
        <v>0</v>
      </c>
      <c r="L459" s="123" t="str">
        <f t="shared" si="14"/>
        <v>NO</v>
      </c>
      <c r="M459" s="140">
        <f t="shared" si="15"/>
        <v>0.63816249999945285</v>
      </c>
    </row>
    <row r="460" spans="1:13" s="123" customFormat="1" ht="24" customHeight="1">
      <c r="A460" s="26">
        <v>43194</v>
      </c>
      <c r="B460" s="135">
        <v>43194.60987615741</v>
      </c>
      <c r="C460" s="30" t="s">
        <v>33</v>
      </c>
      <c r="D460" s="30"/>
      <c r="E460" s="30">
        <v>6</v>
      </c>
      <c r="F460" s="30">
        <v>10</v>
      </c>
      <c r="G460" s="27">
        <v>0</v>
      </c>
      <c r="H460" s="165">
        <f t="shared" si="37"/>
        <v>1116</v>
      </c>
      <c r="J460" s="127">
        <f t="shared" si="40"/>
        <v>3</v>
      </c>
      <c r="K460" s="128">
        <f t="shared" si="41"/>
        <v>0</v>
      </c>
      <c r="L460" s="123" t="str">
        <f t="shared" si="14"/>
        <v>NO</v>
      </c>
      <c r="M460" s="140">
        <f t="shared" si="15"/>
        <v>0.60987615741032641</v>
      </c>
    </row>
    <row r="461" spans="1:13" s="123" customFormat="1" ht="24" customHeight="1">
      <c r="A461" s="26">
        <v>43194</v>
      </c>
      <c r="B461" s="135">
        <v>43194.594875694442</v>
      </c>
      <c r="C461" s="30" t="s">
        <v>27</v>
      </c>
      <c r="D461" s="30"/>
      <c r="E461" s="30">
        <v>9</v>
      </c>
      <c r="F461" s="30">
        <v>20</v>
      </c>
      <c r="G461" s="27">
        <v>3</v>
      </c>
      <c r="H461" s="31">
        <f t="shared" si="37"/>
        <v>1115</v>
      </c>
      <c r="J461" s="127">
        <f t="shared" ref="J461:J467" si="42">+ROUNDUP(F461/4,0)</f>
        <v>5</v>
      </c>
      <c r="K461" s="128">
        <f t="shared" ref="K461:K467" si="43">+ROUNDUP(G461/2,0)</f>
        <v>2</v>
      </c>
      <c r="L461" s="123" t="str">
        <f t="shared" ref="L461:L467" si="44">+IF(M461 &gt; $L$1,"SI","NO")</f>
        <v>NO</v>
      </c>
      <c r="M461" s="140">
        <f t="shared" ref="M461:M467" si="45">+MOD(B461,1)</f>
        <v>0.5948756944417255</v>
      </c>
    </row>
    <row r="462" spans="1:13" s="123" customFormat="1" ht="24" customHeight="1">
      <c r="A462" s="26">
        <v>43194</v>
      </c>
      <c r="B462" s="135">
        <v>43194.555497106485</v>
      </c>
      <c r="C462" s="30" t="s">
        <v>15</v>
      </c>
      <c r="D462" s="30"/>
      <c r="E462" s="30">
        <v>2</v>
      </c>
      <c r="F462" s="30">
        <v>7</v>
      </c>
      <c r="G462" s="27">
        <v>0</v>
      </c>
      <c r="H462" s="165">
        <f t="shared" ref="H462:H478" si="46">+H463+1</f>
        <v>1114</v>
      </c>
      <c r="J462" s="127">
        <f t="shared" si="42"/>
        <v>2</v>
      </c>
      <c r="K462" s="128">
        <f t="shared" si="43"/>
        <v>0</v>
      </c>
      <c r="L462" s="123" t="str">
        <f t="shared" si="44"/>
        <v>NO</v>
      </c>
      <c r="M462" s="140">
        <f t="shared" si="45"/>
        <v>0.55549710648483597</v>
      </c>
    </row>
    <row r="463" spans="1:13" s="123" customFormat="1" ht="24" customHeight="1">
      <c r="A463" s="26">
        <v>43194</v>
      </c>
      <c r="B463" s="135">
        <v>43194.550249074076</v>
      </c>
      <c r="C463" s="30" t="s">
        <v>18</v>
      </c>
      <c r="D463" s="30"/>
      <c r="E463" s="30">
        <v>3</v>
      </c>
      <c r="F463" s="30">
        <v>0</v>
      </c>
      <c r="G463" s="27">
        <v>0</v>
      </c>
      <c r="H463" s="165">
        <f t="shared" si="46"/>
        <v>1113</v>
      </c>
      <c r="J463" s="127">
        <f t="shared" si="42"/>
        <v>0</v>
      </c>
      <c r="K463" s="128">
        <f t="shared" si="43"/>
        <v>0</v>
      </c>
      <c r="L463" s="123" t="str">
        <f t="shared" si="44"/>
        <v>NO</v>
      </c>
      <c r="M463" s="140">
        <f t="shared" si="45"/>
        <v>0.55024907407641876</v>
      </c>
    </row>
    <row r="464" spans="1:13" s="123" customFormat="1" ht="24" customHeight="1">
      <c r="A464" s="26">
        <v>43194</v>
      </c>
      <c r="B464" s="135">
        <v>43194.542217592592</v>
      </c>
      <c r="C464" s="30" t="s">
        <v>19</v>
      </c>
      <c r="D464" s="30"/>
      <c r="E464" s="30">
        <v>2</v>
      </c>
      <c r="F464" s="30">
        <v>0</v>
      </c>
      <c r="G464" s="27">
        <v>2</v>
      </c>
      <c r="H464" s="165">
        <f t="shared" si="46"/>
        <v>1112</v>
      </c>
      <c r="J464" s="127">
        <f t="shared" si="42"/>
        <v>0</v>
      </c>
      <c r="K464" s="128">
        <f t="shared" si="43"/>
        <v>1</v>
      </c>
      <c r="L464" s="123" t="str">
        <f t="shared" si="44"/>
        <v>NO</v>
      </c>
      <c r="M464" s="140">
        <f t="shared" si="45"/>
        <v>0.54221759259235114</v>
      </c>
    </row>
    <row r="465" spans="1:13" s="123" customFormat="1" ht="24" customHeight="1">
      <c r="A465" s="26">
        <v>43194</v>
      </c>
      <c r="B465" s="135">
        <v>43194.535640972223</v>
      </c>
      <c r="C465" s="30" t="s">
        <v>21</v>
      </c>
      <c r="D465" s="30"/>
      <c r="E465" s="30">
        <v>1</v>
      </c>
      <c r="F465" s="30">
        <v>6</v>
      </c>
      <c r="G465" s="27">
        <v>0</v>
      </c>
      <c r="H465" s="165">
        <f t="shared" si="46"/>
        <v>1111</v>
      </c>
      <c r="J465" s="127">
        <f t="shared" si="42"/>
        <v>2</v>
      </c>
      <c r="K465" s="128">
        <f t="shared" si="43"/>
        <v>0</v>
      </c>
      <c r="L465" s="123" t="str">
        <f t="shared" si="44"/>
        <v>NO</v>
      </c>
      <c r="M465" s="140">
        <f t="shared" si="45"/>
        <v>0.53564097222260898</v>
      </c>
    </row>
    <row r="466" spans="1:13" s="123" customFormat="1" ht="24" customHeight="1">
      <c r="A466" s="26">
        <v>43194</v>
      </c>
      <c r="B466" s="135">
        <v>43194.499127083334</v>
      </c>
      <c r="C466" s="30" t="s">
        <v>79</v>
      </c>
      <c r="D466" s="30"/>
      <c r="E466" s="30">
        <v>0</v>
      </c>
      <c r="F466" s="30">
        <v>0</v>
      </c>
      <c r="G466" s="27">
        <v>2</v>
      </c>
      <c r="H466" s="165">
        <f t="shared" si="46"/>
        <v>1110</v>
      </c>
      <c r="J466" s="127">
        <f t="shared" si="42"/>
        <v>0</v>
      </c>
      <c r="K466" s="128">
        <f t="shared" si="43"/>
        <v>1</v>
      </c>
      <c r="L466" s="123" t="str">
        <f t="shared" si="44"/>
        <v>NO</v>
      </c>
      <c r="M466" s="140">
        <f t="shared" si="45"/>
        <v>0.4991270833343151</v>
      </c>
    </row>
    <row r="467" spans="1:13" s="123" customFormat="1" ht="24" customHeight="1">
      <c r="A467" s="26">
        <v>43194</v>
      </c>
      <c r="B467" s="135">
        <v>43194.411407175925</v>
      </c>
      <c r="C467" s="30" t="s">
        <v>13</v>
      </c>
      <c r="D467" s="30"/>
      <c r="E467" s="30">
        <v>18</v>
      </c>
      <c r="F467" s="30">
        <v>28</v>
      </c>
      <c r="G467" s="27">
        <v>5</v>
      </c>
      <c r="H467" s="165">
        <f t="shared" si="46"/>
        <v>1109</v>
      </c>
      <c r="J467" s="127">
        <f t="shared" si="42"/>
        <v>7</v>
      </c>
      <c r="K467" s="128">
        <f t="shared" si="43"/>
        <v>3</v>
      </c>
      <c r="L467" s="123" t="str">
        <f t="shared" si="44"/>
        <v>NO</v>
      </c>
      <c r="M467" s="140">
        <f t="shared" si="45"/>
        <v>0.41140717592497822</v>
      </c>
    </row>
    <row r="468" spans="1:13" s="123" customFormat="1" ht="24" customHeight="1">
      <c r="A468" s="26">
        <v>43194</v>
      </c>
      <c r="B468" s="135">
        <v>43194.115343865742</v>
      </c>
      <c r="C468" s="30" t="s">
        <v>13</v>
      </c>
      <c r="D468" s="30"/>
      <c r="E468" s="30">
        <v>3</v>
      </c>
      <c r="F468" s="30">
        <v>18</v>
      </c>
      <c r="G468" s="27">
        <v>0</v>
      </c>
      <c r="H468" s="165">
        <f t="shared" si="46"/>
        <v>1108</v>
      </c>
      <c r="J468" s="127">
        <f t="shared" ref="J468:J499" si="47">+ROUNDUP(F468/4,0)</f>
        <v>5</v>
      </c>
      <c r="K468" s="128">
        <f t="shared" ref="K468:K499" si="48">+ROUNDUP(G468/2,0)</f>
        <v>0</v>
      </c>
      <c r="L468" s="123" t="str">
        <f t="shared" ref="L468:L499" si="49">+IF(M468 &gt; $L$1,"SI","NO")</f>
        <v>NO</v>
      </c>
      <c r="M468" s="140">
        <f t="shared" ref="M468:M499" si="50">+MOD(B468,1)</f>
        <v>0.11534386574203381</v>
      </c>
    </row>
    <row r="469" spans="1:13" s="123" customFormat="1" ht="24" customHeight="1">
      <c r="A469" s="26">
        <v>43193</v>
      </c>
      <c r="B469" s="135">
        <v>43193.976927546297</v>
      </c>
      <c r="C469" s="30" t="s">
        <v>36</v>
      </c>
      <c r="D469" s="30"/>
      <c r="E469" s="30">
        <v>1</v>
      </c>
      <c r="F469" s="30">
        <v>1</v>
      </c>
      <c r="G469" s="27">
        <v>0</v>
      </c>
      <c r="H469" s="165">
        <f t="shared" si="46"/>
        <v>1107</v>
      </c>
      <c r="J469" s="127">
        <f t="shared" si="47"/>
        <v>1</v>
      </c>
      <c r="K469" s="128">
        <f t="shared" si="48"/>
        <v>0</v>
      </c>
      <c r="L469" s="123" t="str">
        <f t="shared" si="49"/>
        <v>SI</v>
      </c>
      <c r="M469" s="140">
        <f t="shared" si="50"/>
        <v>0.97692754629679257</v>
      </c>
    </row>
    <row r="470" spans="1:13" s="123" customFormat="1" ht="24" customHeight="1">
      <c r="A470" s="26">
        <v>43193</v>
      </c>
      <c r="B470" s="135">
        <v>43193.905942708334</v>
      </c>
      <c r="C470" s="30" t="s">
        <v>36</v>
      </c>
      <c r="D470" s="30"/>
      <c r="E470" s="30">
        <v>1</v>
      </c>
      <c r="F470" s="30">
        <v>0</v>
      </c>
      <c r="G470" s="27">
        <v>0</v>
      </c>
      <c r="H470" s="165">
        <f t="shared" si="46"/>
        <v>1106</v>
      </c>
      <c r="J470" s="127">
        <f t="shared" si="47"/>
        <v>0</v>
      </c>
      <c r="K470" s="128">
        <f t="shared" si="48"/>
        <v>0</v>
      </c>
      <c r="L470" s="123" t="str">
        <f t="shared" si="49"/>
        <v>SI</v>
      </c>
      <c r="M470" s="140">
        <f t="shared" si="50"/>
        <v>0.90594270833389601</v>
      </c>
    </row>
    <row r="471" spans="1:13" s="123" customFormat="1" ht="24" customHeight="1">
      <c r="A471" s="26">
        <v>43193</v>
      </c>
      <c r="B471" s="135">
        <v>43193.870874768516</v>
      </c>
      <c r="C471" s="30" t="s">
        <v>36</v>
      </c>
      <c r="D471" s="30"/>
      <c r="E471" s="30">
        <v>3</v>
      </c>
      <c r="F471" s="30">
        <v>21</v>
      </c>
      <c r="G471" s="27">
        <v>0</v>
      </c>
      <c r="H471" s="165">
        <f t="shared" si="46"/>
        <v>1105</v>
      </c>
      <c r="J471" s="127">
        <f t="shared" si="47"/>
        <v>6</v>
      </c>
      <c r="K471" s="128">
        <f t="shared" si="48"/>
        <v>0</v>
      </c>
      <c r="L471" s="123" t="str">
        <f t="shared" si="49"/>
        <v>SI</v>
      </c>
      <c r="M471" s="140">
        <f t="shared" si="50"/>
        <v>0.87087476851593237</v>
      </c>
    </row>
    <row r="472" spans="1:13" s="123" customFormat="1" ht="24" customHeight="1">
      <c r="A472" s="26">
        <v>43193</v>
      </c>
      <c r="B472" s="135">
        <v>43193.856526851851</v>
      </c>
      <c r="C472" s="30" t="s">
        <v>28</v>
      </c>
      <c r="D472" s="30"/>
      <c r="E472" s="30">
        <v>4</v>
      </c>
      <c r="F472" s="30">
        <v>26</v>
      </c>
      <c r="G472" s="27">
        <v>2</v>
      </c>
      <c r="H472" s="165">
        <f t="shared" si="46"/>
        <v>1104</v>
      </c>
      <c r="J472" s="127">
        <f t="shared" si="47"/>
        <v>7</v>
      </c>
      <c r="K472" s="128">
        <f t="shared" si="48"/>
        <v>1</v>
      </c>
      <c r="L472" s="123" t="str">
        <f t="shared" si="49"/>
        <v>SI</v>
      </c>
      <c r="M472" s="140">
        <f t="shared" si="50"/>
        <v>0.85652685185050359</v>
      </c>
    </row>
    <row r="473" spans="1:13" s="123" customFormat="1" ht="24" customHeight="1">
      <c r="A473" s="26">
        <v>43193</v>
      </c>
      <c r="B473" s="135">
        <v>43193.73516585648</v>
      </c>
      <c r="C473" s="30" t="s">
        <v>11</v>
      </c>
      <c r="D473" s="30"/>
      <c r="E473" s="30">
        <v>4</v>
      </c>
      <c r="F473" s="30">
        <v>23</v>
      </c>
      <c r="G473" s="27">
        <v>0</v>
      </c>
      <c r="H473" s="165">
        <f t="shared" si="46"/>
        <v>1103</v>
      </c>
      <c r="J473" s="127">
        <f t="shared" si="47"/>
        <v>6</v>
      </c>
      <c r="K473" s="128">
        <f t="shared" si="48"/>
        <v>0</v>
      </c>
      <c r="L473" s="123" t="str">
        <f t="shared" si="49"/>
        <v>NO</v>
      </c>
      <c r="M473" s="140">
        <f t="shared" si="50"/>
        <v>0.73516585648030741</v>
      </c>
    </row>
    <row r="474" spans="1:13" s="123" customFormat="1" ht="24" customHeight="1">
      <c r="A474" s="26">
        <v>43193</v>
      </c>
      <c r="B474" s="135">
        <v>43193.683487847222</v>
      </c>
      <c r="C474" s="30" t="s">
        <v>20</v>
      </c>
      <c r="D474" s="30"/>
      <c r="E474" s="30">
        <v>7</v>
      </c>
      <c r="F474" s="30">
        <v>13</v>
      </c>
      <c r="G474" s="27">
        <v>4</v>
      </c>
      <c r="H474" s="165">
        <f t="shared" si="46"/>
        <v>1102</v>
      </c>
      <c r="J474" s="127">
        <f t="shared" si="47"/>
        <v>4</v>
      </c>
      <c r="K474" s="128">
        <f t="shared" si="48"/>
        <v>2</v>
      </c>
      <c r="L474" s="123" t="str">
        <f t="shared" si="49"/>
        <v>NO</v>
      </c>
      <c r="M474" s="140">
        <f t="shared" si="50"/>
        <v>0.68348784722184064</v>
      </c>
    </row>
    <row r="475" spans="1:13" s="123" customFormat="1" ht="24" customHeight="1">
      <c r="A475" s="26">
        <v>43193</v>
      </c>
      <c r="B475" s="135">
        <v>43193.65460277778</v>
      </c>
      <c r="C475" s="30" t="s">
        <v>18</v>
      </c>
      <c r="D475" s="30"/>
      <c r="E475" s="30">
        <v>0</v>
      </c>
      <c r="F475" s="30">
        <v>0</v>
      </c>
      <c r="G475" s="27">
        <v>2</v>
      </c>
      <c r="H475" s="165">
        <f t="shared" si="46"/>
        <v>1101</v>
      </c>
      <c r="J475" s="127">
        <f t="shared" si="47"/>
        <v>0</v>
      </c>
      <c r="K475" s="128">
        <f t="shared" si="48"/>
        <v>1</v>
      </c>
      <c r="L475" s="123" t="str">
        <f t="shared" si="49"/>
        <v>NO</v>
      </c>
      <c r="M475" s="140">
        <f t="shared" si="50"/>
        <v>0.65460277778038289</v>
      </c>
    </row>
    <row r="476" spans="1:13" s="123" customFormat="1" ht="24" customHeight="1">
      <c r="A476" s="26">
        <v>43193</v>
      </c>
      <c r="B476" s="135">
        <v>43193.654473379633</v>
      </c>
      <c r="C476" s="30" t="s">
        <v>14</v>
      </c>
      <c r="D476" s="30"/>
      <c r="E476" s="30">
        <v>0</v>
      </c>
      <c r="F476" s="30">
        <v>0</v>
      </c>
      <c r="G476" s="27">
        <v>4</v>
      </c>
      <c r="H476" s="165">
        <f t="shared" si="46"/>
        <v>1100</v>
      </c>
      <c r="J476" s="127">
        <f t="shared" si="47"/>
        <v>0</v>
      </c>
      <c r="K476" s="128">
        <f t="shared" si="48"/>
        <v>2</v>
      </c>
      <c r="L476" s="123" t="str">
        <f t="shared" si="49"/>
        <v>NO</v>
      </c>
      <c r="M476" s="140">
        <f t="shared" si="50"/>
        <v>0.65447337963269092</v>
      </c>
    </row>
    <row r="477" spans="1:13" s="123" customFormat="1" ht="24" customHeight="1">
      <c r="A477" s="130">
        <v>43193</v>
      </c>
      <c r="B477" s="136"/>
      <c r="C477" s="131"/>
      <c r="D477" s="131"/>
      <c r="E477" s="131"/>
      <c r="F477" s="131"/>
      <c r="G477" s="132"/>
      <c r="H477" s="133">
        <f t="shared" si="46"/>
        <v>1099</v>
      </c>
      <c r="J477" s="127">
        <f t="shared" si="47"/>
        <v>0</v>
      </c>
      <c r="K477" s="128">
        <f t="shared" si="48"/>
        <v>0</v>
      </c>
      <c r="L477" s="123" t="str">
        <f t="shared" si="49"/>
        <v>NO</v>
      </c>
      <c r="M477" s="140">
        <f t="shared" si="50"/>
        <v>0</v>
      </c>
    </row>
    <row r="478" spans="1:13" s="123" customFormat="1" ht="24" customHeight="1">
      <c r="A478" s="26">
        <v>43193</v>
      </c>
      <c r="B478" s="135">
        <v>43193.633120023151</v>
      </c>
      <c r="C478" s="30" t="s">
        <v>33</v>
      </c>
      <c r="D478" s="30"/>
      <c r="E478" s="30">
        <v>3</v>
      </c>
      <c r="F478" s="30">
        <v>16</v>
      </c>
      <c r="G478" s="27">
        <v>0</v>
      </c>
      <c r="H478" s="165">
        <f t="shared" si="46"/>
        <v>1098</v>
      </c>
      <c r="J478" s="127">
        <f t="shared" si="47"/>
        <v>4</v>
      </c>
      <c r="K478" s="128">
        <f t="shared" si="48"/>
        <v>0</v>
      </c>
      <c r="L478" s="123" t="str">
        <f t="shared" si="49"/>
        <v>NO</v>
      </c>
      <c r="M478" s="140">
        <f t="shared" si="50"/>
        <v>0.63312002315069549</v>
      </c>
    </row>
    <row r="479" spans="1:13" s="123" customFormat="1" ht="24" customHeight="1">
      <c r="A479" s="26">
        <v>43193</v>
      </c>
      <c r="B479" s="135">
        <v>43193.60133622685</v>
      </c>
      <c r="C479" s="30" t="s">
        <v>27</v>
      </c>
      <c r="D479" s="30"/>
      <c r="E479" s="30">
        <v>2</v>
      </c>
      <c r="F479" s="30">
        <v>0</v>
      </c>
      <c r="G479" s="27">
        <v>0</v>
      </c>
      <c r="H479" s="31">
        <f t="shared" ref="H479:H498" si="51">+H480+1</f>
        <v>1097</v>
      </c>
      <c r="J479" s="127">
        <f t="shared" si="47"/>
        <v>0</v>
      </c>
      <c r="K479" s="128">
        <f t="shared" si="48"/>
        <v>0</v>
      </c>
      <c r="L479" s="123" t="str">
        <f t="shared" si="49"/>
        <v>NO</v>
      </c>
      <c r="M479" s="140">
        <f t="shared" si="50"/>
        <v>0.6013362268495257</v>
      </c>
    </row>
    <row r="480" spans="1:13" s="123" customFormat="1" ht="24" customHeight="1">
      <c r="A480" s="26">
        <v>43193</v>
      </c>
      <c r="B480" s="135">
        <v>43193.597867476848</v>
      </c>
      <c r="C480" s="30" t="s">
        <v>77</v>
      </c>
      <c r="D480" s="30"/>
      <c r="E480" s="30">
        <v>1</v>
      </c>
      <c r="F480" s="30">
        <v>0</v>
      </c>
      <c r="G480" s="27">
        <v>0</v>
      </c>
      <c r="H480" s="165">
        <f t="shared" si="51"/>
        <v>1096</v>
      </c>
      <c r="J480" s="127">
        <f t="shared" si="47"/>
        <v>0</v>
      </c>
      <c r="K480" s="128">
        <f t="shared" si="48"/>
        <v>0</v>
      </c>
      <c r="L480" s="123" t="str">
        <f t="shared" si="49"/>
        <v>NO</v>
      </c>
      <c r="M480" s="140">
        <f t="shared" si="50"/>
        <v>0.59786747684847796</v>
      </c>
    </row>
    <row r="481" spans="1:13" s="123" customFormat="1" ht="24" customHeight="1">
      <c r="A481" s="26">
        <v>43193</v>
      </c>
      <c r="B481" s="135">
        <v>43193.596041666664</v>
      </c>
      <c r="C481" s="30" t="s">
        <v>24</v>
      </c>
      <c r="D481" s="30"/>
      <c r="E481" s="30">
        <v>4</v>
      </c>
      <c r="F481" s="30">
        <v>1</v>
      </c>
      <c r="G481" s="27">
        <v>0</v>
      </c>
      <c r="H481" s="165">
        <f t="shared" si="51"/>
        <v>1095</v>
      </c>
      <c r="J481" s="127">
        <f t="shared" si="47"/>
        <v>1</v>
      </c>
      <c r="K481" s="128">
        <f t="shared" si="48"/>
        <v>0</v>
      </c>
      <c r="L481" s="123" t="str">
        <f t="shared" si="49"/>
        <v>NO</v>
      </c>
      <c r="M481" s="140">
        <f t="shared" si="50"/>
        <v>0.59604166666395031</v>
      </c>
    </row>
    <row r="482" spans="1:13" s="123" customFormat="1" ht="24" customHeight="1">
      <c r="A482" s="26">
        <v>43193</v>
      </c>
      <c r="B482" s="135">
        <v>43193.584667013885</v>
      </c>
      <c r="C482" s="30"/>
      <c r="D482" s="30" t="s">
        <v>86</v>
      </c>
      <c r="E482" s="30">
        <v>1</v>
      </c>
      <c r="F482" s="30">
        <v>0</v>
      </c>
      <c r="G482" s="27">
        <v>0</v>
      </c>
      <c r="H482" s="165">
        <f t="shared" si="51"/>
        <v>1094</v>
      </c>
      <c r="J482" s="127">
        <f t="shared" si="47"/>
        <v>0</v>
      </c>
      <c r="K482" s="128">
        <f t="shared" si="48"/>
        <v>0</v>
      </c>
      <c r="L482" s="123" t="str">
        <f t="shared" si="49"/>
        <v>NO</v>
      </c>
      <c r="M482" s="140">
        <f t="shared" si="50"/>
        <v>0.58466701388533693</v>
      </c>
    </row>
    <row r="483" spans="1:13" s="123" customFormat="1" ht="24" customHeight="1">
      <c r="A483" s="26">
        <v>43193</v>
      </c>
      <c r="B483" s="135">
        <v>43193.581828935188</v>
      </c>
      <c r="C483" s="30" t="s">
        <v>79</v>
      </c>
      <c r="D483" s="30"/>
      <c r="E483" s="30">
        <v>0</v>
      </c>
      <c r="F483" s="30">
        <v>0</v>
      </c>
      <c r="G483" s="27">
        <v>2</v>
      </c>
      <c r="H483" s="165">
        <f t="shared" si="51"/>
        <v>1093</v>
      </c>
      <c r="J483" s="127">
        <f t="shared" si="47"/>
        <v>0</v>
      </c>
      <c r="K483" s="128">
        <f t="shared" si="48"/>
        <v>1</v>
      </c>
      <c r="L483" s="123" t="str">
        <f t="shared" si="49"/>
        <v>NO</v>
      </c>
      <c r="M483" s="140">
        <f t="shared" si="50"/>
        <v>0.5818289351882413</v>
      </c>
    </row>
    <row r="484" spans="1:13" s="123" customFormat="1" ht="24" customHeight="1">
      <c r="A484" s="26">
        <v>43193</v>
      </c>
      <c r="B484" s="135">
        <v>43193.55457083333</v>
      </c>
      <c r="C484" s="30" t="s">
        <v>27</v>
      </c>
      <c r="D484" s="30"/>
      <c r="E484" s="30">
        <v>18</v>
      </c>
      <c r="F484" s="30">
        <v>9</v>
      </c>
      <c r="G484" s="27">
        <v>6</v>
      </c>
      <c r="H484" s="31">
        <f t="shared" si="51"/>
        <v>1092</v>
      </c>
      <c r="J484" s="127">
        <f t="shared" si="47"/>
        <v>3</v>
      </c>
      <c r="K484" s="128">
        <f t="shared" si="48"/>
        <v>3</v>
      </c>
      <c r="L484" s="123" t="str">
        <f t="shared" si="49"/>
        <v>NO</v>
      </c>
      <c r="M484" s="140">
        <f t="shared" si="50"/>
        <v>0.55457083333021728</v>
      </c>
    </row>
    <row r="485" spans="1:13" s="123" customFormat="1" ht="24" customHeight="1">
      <c r="A485" s="26">
        <v>43193</v>
      </c>
      <c r="B485" s="135">
        <v>43193.553481365743</v>
      </c>
      <c r="C485" s="30" t="s">
        <v>27</v>
      </c>
      <c r="D485" s="30"/>
      <c r="E485" s="30">
        <v>18</v>
      </c>
      <c r="F485" s="30">
        <v>9</v>
      </c>
      <c r="G485" s="27">
        <v>6</v>
      </c>
      <c r="H485" s="31">
        <f t="shared" si="51"/>
        <v>1091</v>
      </c>
      <c r="J485" s="127">
        <f t="shared" si="47"/>
        <v>3</v>
      </c>
      <c r="K485" s="128">
        <f t="shared" si="48"/>
        <v>3</v>
      </c>
      <c r="L485" s="123" t="str">
        <f t="shared" si="49"/>
        <v>NO</v>
      </c>
      <c r="M485" s="140">
        <f t="shared" si="50"/>
        <v>0.55348136574320961</v>
      </c>
    </row>
    <row r="486" spans="1:13" s="123" customFormat="1" ht="24" customHeight="1">
      <c r="A486" s="26">
        <v>43193</v>
      </c>
      <c r="B486" s="135">
        <v>43193.517454513887</v>
      </c>
      <c r="C486" s="30" t="s">
        <v>28</v>
      </c>
      <c r="D486" s="30"/>
      <c r="E486" s="30">
        <v>0</v>
      </c>
      <c r="F486" s="30">
        <v>6</v>
      </c>
      <c r="G486" s="27">
        <v>0</v>
      </c>
      <c r="H486" s="165">
        <f t="shared" si="51"/>
        <v>1090</v>
      </c>
      <c r="J486" s="127">
        <f t="shared" si="47"/>
        <v>2</v>
      </c>
      <c r="K486" s="128">
        <f t="shared" si="48"/>
        <v>0</v>
      </c>
      <c r="L486" s="123" t="str">
        <f t="shared" si="49"/>
        <v>NO</v>
      </c>
      <c r="M486" s="140">
        <f t="shared" si="50"/>
        <v>0.51745451388705987</v>
      </c>
    </row>
    <row r="487" spans="1:13" s="123" customFormat="1" ht="24" customHeight="1">
      <c r="A487" s="26">
        <v>43193</v>
      </c>
      <c r="B487" s="135">
        <v>43193.509884027779</v>
      </c>
      <c r="C487" s="30" t="s">
        <v>36</v>
      </c>
      <c r="D487" s="30"/>
      <c r="E487" s="30">
        <v>2</v>
      </c>
      <c r="F487" s="30">
        <v>0</v>
      </c>
      <c r="G487" s="27">
        <v>0</v>
      </c>
      <c r="H487" s="165">
        <f t="shared" si="51"/>
        <v>1089</v>
      </c>
      <c r="J487" s="127">
        <f t="shared" si="47"/>
        <v>0</v>
      </c>
      <c r="K487" s="128">
        <f t="shared" si="48"/>
        <v>0</v>
      </c>
      <c r="L487" s="123" t="str">
        <f t="shared" si="49"/>
        <v>NO</v>
      </c>
      <c r="M487" s="140">
        <f t="shared" si="50"/>
        <v>0.50988402777875308</v>
      </c>
    </row>
    <row r="488" spans="1:13" s="123" customFormat="1" ht="24" customHeight="1">
      <c r="A488" s="26">
        <v>43193</v>
      </c>
      <c r="B488" s="135">
        <v>43193.347225115744</v>
      </c>
      <c r="C488" s="30" t="s">
        <v>13</v>
      </c>
      <c r="D488" s="30"/>
      <c r="E488" s="30">
        <v>11</v>
      </c>
      <c r="F488" s="30">
        <v>38</v>
      </c>
      <c r="G488" s="27">
        <v>0</v>
      </c>
      <c r="H488" s="165">
        <f t="shared" si="51"/>
        <v>1088</v>
      </c>
      <c r="J488" s="127">
        <f t="shared" si="47"/>
        <v>10</v>
      </c>
      <c r="K488" s="128">
        <f t="shared" si="48"/>
        <v>0</v>
      </c>
      <c r="L488" s="123" t="str">
        <f t="shared" si="49"/>
        <v>NO</v>
      </c>
      <c r="M488" s="140">
        <f t="shared" si="50"/>
        <v>0.34722511574364034</v>
      </c>
    </row>
    <row r="489" spans="1:13" s="123" customFormat="1" ht="24" customHeight="1">
      <c r="A489" s="26">
        <v>43192</v>
      </c>
      <c r="B489" s="135">
        <v>43192.888676504626</v>
      </c>
      <c r="C489" s="30" t="s">
        <v>36</v>
      </c>
      <c r="D489" s="30"/>
      <c r="E489" s="30">
        <v>3</v>
      </c>
      <c r="F489" s="30">
        <v>4</v>
      </c>
      <c r="G489" s="27">
        <v>0</v>
      </c>
      <c r="H489" s="165">
        <f t="shared" si="51"/>
        <v>1087</v>
      </c>
      <c r="J489" s="127">
        <f t="shared" si="47"/>
        <v>1</v>
      </c>
      <c r="K489" s="128">
        <f t="shared" si="48"/>
        <v>0</v>
      </c>
      <c r="L489" s="123" t="str">
        <f t="shared" si="49"/>
        <v>SI</v>
      </c>
      <c r="M489" s="140">
        <f t="shared" si="50"/>
        <v>0.88867650462634629</v>
      </c>
    </row>
    <row r="490" spans="1:13" s="123" customFormat="1" ht="24" customHeight="1">
      <c r="A490" s="26">
        <v>43192</v>
      </c>
      <c r="B490" s="135">
        <v>43192.837664236111</v>
      </c>
      <c r="C490" s="30" t="s">
        <v>78</v>
      </c>
      <c r="D490" s="30"/>
      <c r="E490" s="30">
        <v>0</v>
      </c>
      <c r="F490" s="30">
        <v>6</v>
      </c>
      <c r="G490" s="27">
        <v>0</v>
      </c>
      <c r="H490" s="31">
        <f t="shared" si="51"/>
        <v>1086</v>
      </c>
      <c r="J490" s="127">
        <f t="shared" si="47"/>
        <v>2</v>
      </c>
      <c r="K490" s="128">
        <f t="shared" si="48"/>
        <v>0</v>
      </c>
      <c r="L490" s="123" t="str">
        <f t="shared" si="49"/>
        <v>SI</v>
      </c>
      <c r="M490" s="140">
        <f t="shared" si="50"/>
        <v>0.83766423611086793</v>
      </c>
    </row>
    <row r="491" spans="1:13" s="123" customFormat="1" ht="24" customHeight="1">
      <c r="A491" s="26">
        <v>43192</v>
      </c>
      <c r="B491" s="135">
        <v>43192.749833564812</v>
      </c>
      <c r="C491" s="30" t="s">
        <v>13</v>
      </c>
      <c r="D491" s="30"/>
      <c r="E491" s="30">
        <v>1</v>
      </c>
      <c r="F491" s="30">
        <v>18</v>
      </c>
      <c r="G491" s="27">
        <v>0</v>
      </c>
      <c r="H491" s="165">
        <f t="shared" si="51"/>
        <v>1085</v>
      </c>
      <c r="J491" s="127">
        <f t="shared" si="47"/>
        <v>5</v>
      </c>
      <c r="K491" s="128">
        <f t="shared" si="48"/>
        <v>0</v>
      </c>
      <c r="L491" s="123" t="str">
        <f t="shared" si="49"/>
        <v>NO</v>
      </c>
      <c r="M491" s="140">
        <f t="shared" si="50"/>
        <v>0.74983356481243391</v>
      </c>
    </row>
    <row r="492" spans="1:13" s="123" customFormat="1" ht="24" customHeight="1">
      <c r="A492" s="26">
        <v>43192</v>
      </c>
      <c r="B492" s="135">
        <v>43192.579346412036</v>
      </c>
      <c r="C492" s="30" t="s">
        <v>13</v>
      </c>
      <c r="D492" s="30"/>
      <c r="E492" s="30">
        <v>6</v>
      </c>
      <c r="F492" s="30">
        <v>0</v>
      </c>
      <c r="G492" s="27">
        <v>0</v>
      </c>
      <c r="H492" s="165">
        <f t="shared" si="51"/>
        <v>1084</v>
      </c>
      <c r="J492" s="127">
        <f t="shared" si="47"/>
        <v>0</v>
      </c>
      <c r="K492" s="128">
        <f t="shared" si="48"/>
        <v>0</v>
      </c>
      <c r="L492" s="123" t="str">
        <f t="shared" si="49"/>
        <v>NO</v>
      </c>
      <c r="M492" s="140">
        <f t="shared" si="50"/>
        <v>0.57934641203610227</v>
      </c>
    </row>
    <row r="493" spans="1:13" s="123" customFormat="1" ht="24" customHeight="1">
      <c r="A493" s="26">
        <v>43192</v>
      </c>
      <c r="B493" s="135">
        <v>43192.527734374999</v>
      </c>
      <c r="C493" s="30" t="s">
        <v>36</v>
      </c>
      <c r="D493" s="30"/>
      <c r="E493" s="30">
        <v>1</v>
      </c>
      <c r="F493" s="30">
        <v>4</v>
      </c>
      <c r="G493" s="27">
        <v>0</v>
      </c>
      <c r="H493" s="31">
        <f t="shared" si="51"/>
        <v>1083</v>
      </c>
      <c r="J493" s="127">
        <f t="shared" si="47"/>
        <v>1</v>
      </c>
      <c r="K493" s="128">
        <f t="shared" si="48"/>
        <v>0</v>
      </c>
      <c r="L493" s="123" t="str">
        <f t="shared" si="49"/>
        <v>NO</v>
      </c>
      <c r="M493" s="140">
        <f t="shared" si="50"/>
        <v>0.52773437499854481</v>
      </c>
    </row>
    <row r="494" spans="1:13" s="123" customFormat="1" ht="24" customHeight="1">
      <c r="A494" s="26">
        <v>43192</v>
      </c>
      <c r="B494" s="135">
        <v>43192.513273495373</v>
      </c>
      <c r="C494" s="30" t="s">
        <v>20</v>
      </c>
      <c r="D494" s="30"/>
      <c r="E494" s="30">
        <v>2</v>
      </c>
      <c r="F494" s="30">
        <v>0</v>
      </c>
      <c r="G494" s="27">
        <v>0</v>
      </c>
      <c r="H494" s="165">
        <f t="shared" si="51"/>
        <v>1082</v>
      </c>
      <c r="J494" s="127">
        <f t="shared" si="47"/>
        <v>0</v>
      </c>
      <c r="K494" s="128">
        <f t="shared" si="48"/>
        <v>0</v>
      </c>
      <c r="L494" s="123" t="str">
        <f t="shared" si="49"/>
        <v>NO</v>
      </c>
      <c r="M494" s="140">
        <f t="shared" si="50"/>
        <v>0.51327349537314149</v>
      </c>
    </row>
    <row r="495" spans="1:13" s="123" customFormat="1" ht="24" customHeight="1">
      <c r="A495" s="26">
        <v>43191</v>
      </c>
      <c r="B495" s="135">
        <v>43191.721848379631</v>
      </c>
      <c r="C495" s="30" t="s">
        <v>13</v>
      </c>
      <c r="D495" s="30"/>
      <c r="E495" s="30">
        <v>10</v>
      </c>
      <c r="F495" s="30">
        <v>36</v>
      </c>
      <c r="G495" s="27">
        <v>6</v>
      </c>
      <c r="H495" s="165">
        <f t="shared" si="51"/>
        <v>1081</v>
      </c>
      <c r="J495" s="127">
        <f t="shared" si="47"/>
        <v>9</v>
      </c>
      <c r="K495" s="128">
        <f t="shared" si="48"/>
        <v>3</v>
      </c>
      <c r="L495" s="123" t="str">
        <f t="shared" si="49"/>
        <v>NO</v>
      </c>
      <c r="M495" s="140">
        <f t="shared" si="50"/>
        <v>0.72184837963141035</v>
      </c>
    </row>
    <row r="496" spans="1:13" s="123" customFormat="1" ht="24" customHeight="1">
      <c r="A496" s="26">
        <v>43191</v>
      </c>
      <c r="B496" s="135">
        <v>43191.66666516204</v>
      </c>
      <c r="C496" s="30" t="s">
        <v>36</v>
      </c>
      <c r="D496" s="30"/>
      <c r="E496" s="30">
        <v>1</v>
      </c>
      <c r="F496" s="30">
        <v>0</v>
      </c>
      <c r="G496" s="27">
        <v>0</v>
      </c>
      <c r="H496" s="165">
        <f t="shared" si="51"/>
        <v>1080</v>
      </c>
      <c r="J496" s="127">
        <f t="shared" si="47"/>
        <v>0</v>
      </c>
      <c r="K496" s="128">
        <f t="shared" si="48"/>
        <v>0</v>
      </c>
      <c r="L496" s="123" t="str">
        <f t="shared" si="49"/>
        <v>NO</v>
      </c>
      <c r="M496" s="140">
        <f t="shared" si="50"/>
        <v>0.66666516203986248</v>
      </c>
    </row>
    <row r="497" spans="1:13" s="123" customFormat="1" ht="24" customHeight="1">
      <c r="A497" s="26">
        <v>43191</v>
      </c>
      <c r="B497" s="135">
        <v>43191.61971770833</v>
      </c>
      <c r="C497" s="30" t="s">
        <v>122</v>
      </c>
      <c r="D497" s="30"/>
      <c r="E497" s="30">
        <v>0</v>
      </c>
      <c r="F497" s="30">
        <v>3</v>
      </c>
      <c r="G497" s="27">
        <v>0</v>
      </c>
      <c r="H497" s="31">
        <f t="shared" si="51"/>
        <v>1079</v>
      </c>
      <c r="J497" s="127">
        <f t="shared" si="47"/>
        <v>1</v>
      </c>
      <c r="K497" s="128">
        <f t="shared" si="48"/>
        <v>0</v>
      </c>
      <c r="L497" s="123" t="str">
        <f t="shared" si="49"/>
        <v>NO</v>
      </c>
      <c r="M497" s="140">
        <f t="shared" si="50"/>
        <v>0.61971770833042683</v>
      </c>
    </row>
    <row r="498" spans="1:13" s="123" customFormat="1" ht="24" customHeight="1">
      <c r="A498" s="26">
        <v>43191</v>
      </c>
      <c r="B498" s="135">
        <v>43191.602446296296</v>
      </c>
      <c r="C498" s="30" t="s">
        <v>11</v>
      </c>
      <c r="D498" s="30"/>
      <c r="E498" s="30">
        <v>6</v>
      </c>
      <c r="F498" s="30">
        <v>0</v>
      </c>
      <c r="G498" s="27">
        <v>0</v>
      </c>
      <c r="H498" s="165">
        <f t="shared" si="51"/>
        <v>1078</v>
      </c>
      <c r="J498" s="127">
        <f t="shared" si="47"/>
        <v>0</v>
      </c>
      <c r="K498" s="128">
        <f t="shared" si="48"/>
        <v>0</v>
      </c>
      <c r="L498" s="123" t="str">
        <f t="shared" si="49"/>
        <v>NO</v>
      </c>
      <c r="M498" s="140">
        <f t="shared" si="50"/>
        <v>0.60244629629596602</v>
      </c>
    </row>
    <row r="499" spans="1:13" s="123" customFormat="1" ht="24" customHeight="1">
      <c r="A499" s="26">
        <v>43191</v>
      </c>
      <c r="B499" s="135">
        <v>43191.557970486108</v>
      </c>
      <c r="C499" s="30" t="s">
        <v>25</v>
      </c>
      <c r="D499" s="30"/>
      <c r="E499" s="30">
        <v>4</v>
      </c>
      <c r="F499" s="30">
        <v>0</v>
      </c>
      <c r="G499" s="27">
        <v>0</v>
      </c>
      <c r="H499" s="165">
        <f t="shared" ref="H499:H500" si="52">+H500+1</f>
        <v>1077</v>
      </c>
      <c r="I499" s="150"/>
      <c r="J499" s="127">
        <f t="shared" si="47"/>
        <v>0</v>
      </c>
      <c r="K499" s="128">
        <f t="shared" si="48"/>
        <v>0</v>
      </c>
      <c r="L499" s="123" t="str">
        <f t="shared" si="49"/>
        <v>NO</v>
      </c>
      <c r="M499" s="140">
        <f t="shared" si="50"/>
        <v>0.55797048610838829</v>
      </c>
    </row>
    <row r="500" spans="1:13" ht="24" customHeight="1">
      <c r="A500" s="33"/>
      <c r="B500" s="137"/>
      <c r="C500" s="34"/>
      <c r="D500" s="34"/>
      <c r="E500" s="34"/>
      <c r="F500" s="34"/>
      <c r="G500" s="35"/>
      <c r="H500" s="36">
        <f t="shared" si="52"/>
        <v>1076</v>
      </c>
    </row>
    <row r="501" spans="1:13">
      <c r="A501" s="33"/>
      <c r="B501" s="137"/>
      <c r="C501" s="34"/>
      <c r="D501" s="34"/>
      <c r="E501" s="34"/>
      <c r="F501" s="34"/>
      <c r="G501" s="35"/>
      <c r="H501" s="36">
        <v>1075</v>
      </c>
    </row>
  </sheetData>
  <sheetProtection insertRows="0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3"/>
  <dimension ref="A1:F69"/>
  <sheetViews>
    <sheetView view="pageLayout" workbookViewId="0">
      <selection activeCell="B9" sqref="B9"/>
    </sheetView>
  </sheetViews>
  <sheetFormatPr baseColWidth="10" defaultColWidth="11.42578125" defaultRowHeight="15"/>
  <cols>
    <col min="1" max="1" width="33.7109375" style="20" customWidth="1"/>
    <col min="2" max="2" width="13.28515625" style="20" customWidth="1"/>
    <col min="3" max="4" width="13.28515625" customWidth="1"/>
    <col min="5" max="5" width="13.28515625" style="78" customWidth="1"/>
  </cols>
  <sheetData>
    <row r="1" spans="1:6" ht="15.75" thickBot="1">
      <c r="A1" s="96" t="s">
        <v>148</v>
      </c>
      <c r="B1" s="120" t="s">
        <v>161</v>
      </c>
      <c r="C1" s="95">
        <v>2017</v>
      </c>
    </row>
    <row r="2" spans="1:6" ht="30.75" thickBot="1">
      <c r="A2" s="83" t="s">
        <v>10</v>
      </c>
      <c r="B2" s="83" t="s">
        <v>3</v>
      </c>
      <c r="C2" s="83" t="s">
        <v>4</v>
      </c>
      <c r="D2" s="83" t="s">
        <v>5</v>
      </c>
      <c r="E2" s="82" t="s">
        <v>127</v>
      </c>
    </row>
    <row r="3" spans="1:6">
      <c r="A3" s="112" t="s">
        <v>83</v>
      </c>
      <c r="B3" s="80">
        <f>+SUMIF(Datos!$C$1:$C$783,A3,Datos!$E$1:$E$783)</f>
        <v>18</v>
      </c>
      <c r="C3" s="79">
        <f>+SUMIF(Datos!$C$1:$C$783,A3,Datos!$F$1:$F$783)</f>
        <v>0</v>
      </c>
      <c r="D3" s="81">
        <f>+SUMIF(Datos!$C$1:$C$783,A3,Datos!$G$1:$G$783)</f>
        <v>0</v>
      </c>
      <c r="E3" s="115">
        <f t="shared" ref="E3:E34" si="0">+SUM(B3:D3)</f>
        <v>18</v>
      </c>
      <c r="F3" s="4"/>
    </row>
    <row r="4" spans="1:6">
      <c r="A4" s="113" t="s">
        <v>15</v>
      </c>
      <c r="B4" s="80">
        <f>+SUMIF(Datos!$C$1:$C$783,A4,Datos!$E$1:$E$783)</f>
        <v>24</v>
      </c>
      <c r="C4" s="79">
        <f>+SUMIF(Datos!$C$1:$C$783,A4,Datos!$F$1:$F$783)</f>
        <v>78</v>
      </c>
      <c r="D4" s="81">
        <f>+SUMIF(Datos!$C$1:$C$783,A4,Datos!$G$1:$G$783)</f>
        <v>0</v>
      </c>
      <c r="E4" s="116">
        <f t="shared" si="0"/>
        <v>102</v>
      </c>
      <c r="F4" s="4"/>
    </row>
    <row r="5" spans="1:6">
      <c r="A5" s="113" t="s">
        <v>21</v>
      </c>
      <c r="B5" s="80">
        <f>+SUMIF(Datos!$C$1:$C$783,A5,Datos!$E$1:$E$783)</f>
        <v>10</v>
      </c>
      <c r="C5" s="79">
        <f>+SUMIF(Datos!$C$1:$C$783,A5,Datos!$F$1:$F$783)</f>
        <v>54</v>
      </c>
      <c r="D5" s="81">
        <f>+SUMIF(Datos!$C$1:$C$783,A5,Datos!$G$1:$G$783)</f>
        <v>0</v>
      </c>
      <c r="E5" s="116">
        <f t="shared" si="0"/>
        <v>64</v>
      </c>
    </row>
    <row r="6" spans="1:6">
      <c r="A6" s="113" t="s">
        <v>80</v>
      </c>
      <c r="B6" s="80">
        <f>+SUMIF(Datos!$C$1:$C$783,A6,Datos!$E$1:$E$783)</f>
        <v>0</v>
      </c>
      <c r="C6" s="79">
        <f>+SUMIF(Datos!$C$1:$C$783,A6,Datos!$F$1:$F$783)</f>
        <v>0</v>
      </c>
      <c r="D6" s="81">
        <f>+SUMIF(Datos!$C$1:$C$783,A6,Datos!$G$1:$G$783)</f>
        <v>0</v>
      </c>
      <c r="E6" s="116">
        <f t="shared" si="0"/>
        <v>0</v>
      </c>
    </row>
    <row r="7" spans="1:6">
      <c r="A7" s="113" t="s">
        <v>79</v>
      </c>
      <c r="B7" s="80">
        <f>+SUMIF(Datos!$C$1:$C$783,A7,Datos!$E$1:$E$783)</f>
        <v>125</v>
      </c>
      <c r="C7" s="79">
        <f>+SUMIF(Datos!$C$1:$C$783,A7,Datos!$F$1:$F$783)</f>
        <v>7</v>
      </c>
      <c r="D7" s="81">
        <f>+SUMIF(Datos!$C$1:$C$783,A7,Datos!$G$1:$G$783)</f>
        <v>108</v>
      </c>
      <c r="E7" s="116">
        <f t="shared" si="0"/>
        <v>240</v>
      </c>
    </row>
    <row r="8" spans="1:6">
      <c r="A8" s="113" t="s">
        <v>84</v>
      </c>
      <c r="B8" s="80">
        <f>+SUMIF(Datos!$C$1:$C$783,A8,Datos!$E$1:$E$783)</f>
        <v>3</v>
      </c>
      <c r="C8" s="79">
        <f>+SUMIF(Datos!$C$1:$C$783,A8,Datos!$F$1:$F$783)</f>
        <v>8</v>
      </c>
      <c r="D8" s="81">
        <f>+SUMIF(Datos!$C$1:$C$783,A8,Datos!$G$1:$G$783)</f>
        <v>0</v>
      </c>
      <c r="E8" s="116">
        <f t="shared" si="0"/>
        <v>11</v>
      </c>
    </row>
    <row r="9" spans="1:6">
      <c r="A9" s="113" t="s">
        <v>28</v>
      </c>
      <c r="B9" s="80">
        <f>+SUMIF(Datos!$C$1:$C$783,A9,Datos!$E$1:$E$783)</f>
        <v>56</v>
      </c>
      <c r="C9" s="79">
        <f>+SUMIF(Datos!$C$1:$C$783,A9,Datos!$F$1:$F$783)</f>
        <v>331</v>
      </c>
      <c r="D9" s="81">
        <f>+SUMIF(Datos!$C$1:$C$783,A9,Datos!$G$1:$G$783)</f>
        <v>7</v>
      </c>
      <c r="E9" s="116">
        <f t="shared" si="0"/>
        <v>394</v>
      </c>
    </row>
    <row r="10" spans="1:6">
      <c r="A10" s="113" t="s">
        <v>37</v>
      </c>
      <c r="B10" s="80">
        <f>+SUMIF(Datos!$C$1:$C$783,A10,Datos!$E$1:$E$783)</f>
        <v>0</v>
      </c>
      <c r="C10" s="79">
        <f>+SUMIF(Datos!$C$1:$C$783,A10,Datos!$F$1:$F$783)</f>
        <v>0</v>
      </c>
      <c r="D10" s="81">
        <f>+SUMIF(Datos!$C$1:$C$783,A10,Datos!$G$1:$G$783)</f>
        <v>0</v>
      </c>
      <c r="E10" s="116">
        <f t="shared" si="0"/>
        <v>0</v>
      </c>
    </row>
    <row r="11" spans="1:6">
      <c r="A11" s="113" t="s">
        <v>81</v>
      </c>
      <c r="B11" s="80">
        <f>+SUMIF(Datos!$C$1:$C$783,A11,Datos!$E$1:$E$783)</f>
        <v>0</v>
      </c>
      <c r="C11" s="79">
        <f>+SUMIF(Datos!$C$1:$C$783,A11,Datos!$F$1:$F$783)</f>
        <v>0</v>
      </c>
      <c r="D11" s="81">
        <f>+SUMIF(Datos!$C$1:$C$783,A11,Datos!$G$1:$G$783)</f>
        <v>0</v>
      </c>
      <c r="E11" s="116">
        <f t="shared" si="0"/>
        <v>0</v>
      </c>
    </row>
    <row r="12" spans="1:6">
      <c r="A12" s="113" t="s">
        <v>20</v>
      </c>
      <c r="B12" s="80">
        <f>+SUMIF(Datos!$C$1:$C$783,A12,Datos!$E$1:$E$783)</f>
        <v>154</v>
      </c>
      <c r="C12" s="79">
        <f>+SUMIF(Datos!$C$1:$C$783,A12,Datos!$F$1:$F$783)</f>
        <v>355</v>
      </c>
      <c r="D12" s="81">
        <f>+SUMIF(Datos!$C$1:$C$783,A12,Datos!$G$1:$G$783)</f>
        <v>45</v>
      </c>
      <c r="E12" s="116">
        <f t="shared" si="0"/>
        <v>554</v>
      </c>
    </row>
    <row r="13" spans="1:6">
      <c r="A13" s="113" t="s">
        <v>24</v>
      </c>
      <c r="B13" s="80">
        <f>+SUMIF(Datos!$C$1:$C$783,A13,Datos!$E$1:$E$783)</f>
        <v>54</v>
      </c>
      <c r="C13" s="79">
        <f>+SUMIF(Datos!$C$1:$C$783,A13,Datos!$F$1:$F$783)</f>
        <v>145</v>
      </c>
      <c r="D13" s="81">
        <f>+SUMIF(Datos!$C$1:$C$783,A13,Datos!$G$1:$G$783)</f>
        <v>0</v>
      </c>
      <c r="E13" s="116">
        <f t="shared" si="0"/>
        <v>199</v>
      </c>
    </row>
    <row r="14" spans="1:6">
      <c r="A14" s="113" t="s">
        <v>113</v>
      </c>
      <c r="B14" s="80">
        <f>+SUMIF(Datos!$C$1:$C$783,A14,Datos!$E$1:$E$783)</f>
        <v>5</v>
      </c>
      <c r="C14" s="79">
        <f>+SUMIF(Datos!$C$1:$C$783,A14,Datos!$F$1:$F$783)</f>
        <v>0</v>
      </c>
      <c r="D14" s="81">
        <f>+SUMIF(Datos!$C$1:$C$783,A14,Datos!$G$1:$G$783)</f>
        <v>0</v>
      </c>
      <c r="E14" s="116">
        <f t="shared" si="0"/>
        <v>5</v>
      </c>
    </row>
    <row r="15" spans="1:6">
      <c r="A15" s="113" t="s">
        <v>85</v>
      </c>
      <c r="B15" s="80">
        <f>+SUMIF(Datos!$C$1:$C$783,A15,Datos!$E$1:$E$783)</f>
        <v>0</v>
      </c>
      <c r="C15" s="79">
        <f>+SUMIF(Datos!$C$1:$C$783,A15,Datos!$F$1:$F$783)</f>
        <v>0</v>
      </c>
      <c r="D15" s="81">
        <f>+SUMIF(Datos!$C$1:$C$783,A15,Datos!$G$1:$G$783)</f>
        <v>0</v>
      </c>
      <c r="E15" s="116">
        <f t="shared" si="0"/>
        <v>0</v>
      </c>
    </row>
    <row r="16" spans="1:6">
      <c r="A16" s="113" t="s">
        <v>78</v>
      </c>
      <c r="B16" s="80">
        <f>+SUMIF(Datos!$C$1:$C$783,A16,Datos!$E$1:$E$783)</f>
        <v>11</v>
      </c>
      <c r="C16" s="79">
        <f>+SUMIF(Datos!$C$1:$C$783,A16,Datos!$F$1:$F$783)</f>
        <v>16</v>
      </c>
      <c r="D16" s="81">
        <f>+SUMIF(Datos!$C$1:$C$783,A16,Datos!$G$1:$G$783)</f>
        <v>0</v>
      </c>
      <c r="E16" s="116">
        <f t="shared" si="0"/>
        <v>27</v>
      </c>
    </row>
    <row r="17" spans="1:5">
      <c r="A17" s="113" t="s">
        <v>107</v>
      </c>
      <c r="B17" s="80">
        <f>+SUMIF(Datos!$C$1:$C$783,A17,Datos!$E$1:$E$783)</f>
        <v>19</v>
      </c>
      <c r="C17" s="79">
        <f>+SUMIF(Datos!$C$1:$C$783,A17,Datos!$F$1:$F$783)</f>
        <v>56</v>
      </c>
      <c r="D17" s="81">
        <f>+SUMIF(Datos!$C$1:$C$783,A17,Datos!$G$1:$G$783)</f>
        <v>0</v>
      </c>
      <c r="E17" s="116">
        <f t="shared" si="0"/>
        <v>75</v>
      </c>
    </row>
    <row r="18" spans="1:5">
      <c r="A18" s="113" t="s">
        <v>18</v>
      </c>
      <c r="B18" s="80">
        <f>+SUMIF(Datos!$C$1:$C$783,A18,Datos!$E$1:$E$783)</f>
        <v>55</v>
      </c>
      <c r="C18" s="79">
        <f>+SUMIF(Datos!$C$1:$C$783,A18,Datos!$F$1:$F$783)</f>
        <v>147</v>
      </c>
      <c r="D18" s="81">
        <f>+SUMIF(Datos!$C$1:$C$783,A18,Datos!$G$1:$G$783)</f>
        <v>12</v>
      </c>
      <c r="E18" s="116">
        <f t="shared" si="0"/>
        <v>214</v>
      </c>
    </row>
    <row r="19" spans="1:5">
      <c r="A19" s="113" t="s">
        <v>110</v>
      </c>
      <c r="B19" s="80">
        <f>+SUMIF(Datos!$C$1:$C$783,A19,Datos!$E$1:$E$783)</f>
        <v>0</v>
      </c>
      <c r="C19" s="79">
        <f>+SUMIF(Datos!$C$1:$C$783,A19,Datos!$F$1:$F$783)</f>
        <v>0</v>
      </c>
      <c r="D19" s="81">
        <f>+SUMIF(Datos!$C$1:$C$783,A19,Datos!$G$1:$G$783)</f>
        <v>0</v>
      </c>
      <c r="E19" s="116">
        <f t="shared" si="0"/>
        <v>0</v>
      </c>
    </row>
    <row r="20" spans="1:5">
      <c r="A20" s="113" t="s">
        <v>13</v>
      </c>
      <c r="B20" s="80">
        <f>+SUMIF(Datos!$C$1:$C$783,A20,Datos!$E$1:$E$783)</f>
        <v>556</v>
      </c>
      <c r="C20" s="79">
        <f>+SUMIF(Datos!$C$1:$C$783,A20,Datos!$F$1:$F$783)</f>
        <v>1452</v>
      </c>
      <c r="D20" s="81">
        <f>+SUMIF(Datos!$C$1:$C$783,A20,Datos!$G$1:$G$783)</f>
        <v>160</v>
      </c>
      <c r="E20" s="116">
        <f t="shared" si="0"/>
        <v>2168</v>
      </c>
    </row>
    <row r="21" spans="1:5">
      <c r="A21" s="113" t="s">
        <v>108</v>
      </c>
      <c r="B21" s="80">
        <f>+SUMIF(Datos!$C$1:$C$783,A21,Datos!$E$1:$E$783)</f>
        <v>0</v>
      </c>
      <c r="C21" s="79">
        <f>+SUMIF(Datos!$C$1:$C$783,A21,Datos!$F$1:$F$783)</f>
        <v>0</v>
      </c>
      <c r="D21" s="81">
        <f>+SUMIF(Datos!$C$1:$C$783,A21,Datos!$G$1:$G$783)</f>
        <v>0</v>
      </c>
      <c r="E21" s="116">
        <f t="shared" si="0"/>
        <v>0</v>
      </c>
    </row>
    <row r="22" spans="1:5">
      <c r="A22" s="113" t="s">
        <v>109</v>
      </c>
      <c r="B22" s="80">
        <f>+SUMIF(Datos!$C$1:$C$783,A22,Datos!$E$1:$E$783)</f>
        <v>6</v>
      </c>
      <c r="C22" s="79">
        <f>+SUMIF(Datos!$C$1:$C$783,A22,Datos!$F$1:$F$783)</f>
        <v>7</v>
      </c>
      <c r="D22" s="81">
        <f>+SUMIF(Datos!$C$1:$C$783,A22,Datos!$G$1:$G$783)</f>
        <v>0</v>
      </c>
      <c r="E22" s="116">
        <f t="shared" si="0"/>
        <v>13</v>
      </c>
    </row>
    <row r="23" spans="1:5">
      <c r="A23" s="113" t="s">
        <v>36</v>
      </c>
      <c r="B23" s="80">
        <f>+SUMIF(Datos!$C$1:$C$783,A23,Datos!$E$1:$E$783)</f>
        <v>135</v>
      </c>
      <c r="C23" s="79">
        <f>+SUMIF(Datos!$C$1:$C$783,A23,Datos!$F$1:$F$783)</f>
        <v>500</v>
      </c>
      <c r="D23" s="81">
        <f>+SUMIF(Datos!$C$1:$C$783,A23,Datos!$G$1:$G$783)</f>
        <v>0</v>
      </c>
      <c r="E23" s="116">
        <f t="shared" si="0"/>
        <v>635</v>
      </c>
    </row>
    <row r="24" spans="1:5">
      <c r="A24" s="113" t="s">
        <v>82</v>
      </c>
      <c r="B24" s="80">
        <f>+SUMIF(Datos!$C$1:$C$783,A24,Datos!$E$1:$E$783)</f>
        <v>0</v>
      </c>
      <c r="C24" s="79">
        <f>+SUMIF(Datos!$C$1:$C$783,A24,Datos!$F$1:$F$783)</f>
        <v>0</v>
      </c>
      <c r="D24" s="81">
        <f>+SUMIF(Datos!$C$1:$C$783,A24,Datos!$G$1:$G$783)</f>
        <v>0</v>
      </c>
      <c r="E24" s="116">
        <f t="shared" si="0"/>
        <v>0</v>
      </c>
    </row>
    <row r="25" spans="1:5">
      <c r="A25" s="113" t="s">
        <v>14</v>
      </c>
      <c r="B25" s="80">
        <f>+SUMIF(Datos!$C$1:$C$783,A25,Datos!$E$1:$E$783)</f>
        <v>154</v>
      </c>
      <c r="C25" s="79">
        <f>+SUMIF(Datos!$C$1:$C$783,A25,Datos!$F$1:$F$783)</f>
        <v>163</v>
      </c>
      <c r="D25" s="81">
        <f>+SUMIF(Datos!$C$1:$C$783,A25,Datos!$G$1:$G$783)</f>
        <v>61</v>
      </c>
      <c r="E25" s="116">
        <f t="shared" si="0"/>
        <v>378</v>
      </c>
    </row>
    <row r="26" spans="1:5" s="123" customFormat="1">
      <c r="A26" s="113" t="s">
        <v>166</v>
      </c>
      <c r="B26" s="80">
        <f>+SUMIF(Datos!$C$1:$C$783,A26,Datos!$E$1:$E$783)</f>
        <v>0</v>
      </c>
      <c r="C26" s="79">
        <f>+SUMIF(Datos!$C$1:$C$783,A26,Datos!$F$1:$F$783)</f>
        <v>0</v>
      </c>
      <c r="D26" s="81">
        <f>+SUMIF(Datos!$C$1:$C$783,A26,Datos!$G$1:$G$783)</f>
        <v>0</v>
      </c>
      <c r="E26" s="116">
        <f t="shared" si="0"/>
        <v>0</v>
      </c>
    </row>
    <row r="27" spans="1:5">
      <c r="A27" s="113" t="s">
        <v>119</v>
      </c>
      <c r="B27" s="80">
        <f>+SUMIF(Datos!$C$1:$C$783,A27,Datos!$E$1:$E$783)</f>
        <v>2</v>
      </c>
      <c r="C27" s="79">
        <f>+SUMIF(Datos!$C$1:$C$783,A27,Datos!$F$1:$F$783)</f>
        <v>0</v>
      </c>
      <c r="D27" s="81">
        <f>+SUMIF(Datos!$C$1:$C$783,A27,Datos!$G$1:$G$783)</f>
        <v>0</v>
      </c>
      <c r="E27" s="116">
        <f t="shared" si="0"/>
        <v>2</v>
      </c>
    </row>
    <row r="28" spans="1:5">
      <c r="A28" s="113" t="s">
        <v>122</v>
      </c>
      <c r="B28" s="80">
        <f>+SUMIF(Datos!$C$1:$C$783,A28,Datos!$E$1:$E$783)</f>
        <v>8</v>
      </c>
      <c r="C28" s="79">
        <f>+SUMIF(Datos!$C$1:$C$783,A28,Datos!$F$1:$F$783)</f>
        <v>8</v>
      </c>
      <c r="D28" s="81">
        <f>+SUMIF(Datos!$C$1:$C$783,A28,Datos!$G$1:$G$783)</f>
        <v>0</v>
      </c>
      <c r="E28" s="116">
        <f t="shared" si="0"/>
        <v>16</v>
      </c>
    </row>
    <row r="29" spans="1:5">
      <c r="A29" s="113" t="s">
        <v>31</v>
      </c>
      <c r="B29" s="80">
        <f>+SUMIF(Datos!$C$1:$C$783,A29,Datos!$E$1:$E$783)</f>
        <v>0</v>
      </c>
      <c r="C29" s="79">
        <f>+SUMIF(Datos!$C$1:$C$783,A29,Datos!$F$1:$F$783)</f>
        <v>0</v>
      </c>
      <c r="D29" s="81">
        <f>+SUMIF(Datos!$C$1:$C$783,A29,Datos!$G$1:$G$783)</f>
        <v>0</v>
      </c>
      <c r="E29" s="116">
        <f t="shared" si="0"/>
        <v>0</v>
      </c>
    </row>
    <row r="30" spans="1:5">
      <c r="A30" s="113" t="s">
        <v>32</v>
      </c>
      <c r="B30" s="80">
        <f>+SUMIF(Datos!$C$1:$C$783,A30,Datos!$E$1:$E$783)</f>
        <v>0</v>
      </c>
      <c r="C30" s="79">
        <f>+SUMIF(Datos!$C$1:$C$783,A30,Datos!$F$1:$F$783)</f>
        <v>0</v>
      </c>
      <c r="D30" s="81">
        <f>+SUMIF(Datos!$C$1:$C$783,A30,Datos!$G$1:$G$783)</f>
        <v>0</v>
      </c>
      <c r="E30" s="116">
        <f t="shared" si="0"/>
        <v>0</v>
      </c>
    </row>
    <row r="31" spans="1:5">
      <c r="A31" s="113" t="s">
        <v>86</v>
      </c>
      <c r="B31" s="80">
        <f>+SUMIF(Datos!$C$1:$C$783,A31,Datos!$E$1:$E$783)</f>
        <v>18</v>
      </c>
      <c r="C31" s="79">
        <f>+SUMIF(Datos!$C$1:$C$783,A31,Datos!$F$1:$F$783)</f>
        <v>0</v>
      </c>
      <c r="D31" s="81">
        <f>+SUMIF(Datos!$C$1:$C$783,A31,Datos!$G$1:$G$783)</f>
        <v>0</v>
      </c>
      <c r="E31" s="116">
        <f t="shared" si="0"/>
        <v>18</v>
      </c>
    </row>
    <row r="32" spans="1:5">
      <c r="A32" s="113" t="s">
        <v>87</v>
      </c>
      <c r="B32" s="80">
        <f>+SUMIF(Datos!$C$1:$C$783,A32,Datos!$E$1:$E$783)</f>
        <v>6</v>
      </c>
      <c r="C32" s="79">
        <f>+SUMIF(Datos!$C$1:$C$783,A32,Datos!$F$1:$F$783)</f>
        <v>0</v>
      </c>
      <c r="D32" s="81">
        <f>+SUMIF(Datos!$C$1:$C$783,A32,Datos!$G$1:$G$783)</f>
        <v>0</v>
      </c>
      <c r="E32" s="116">
        <f t="shared" si="0"/>
        <v>6</v>
      </c>
    </row>
    <row r="33" spans="1:5">
      <c r="A33" s="113" t="s">
        <v>33</v>
      </c>
      <c r="B33" s="80">
        <f>+SUMIF(Datos!$C$1:$C$783,A33,Datos!$E$1:$E$783)</f>
        <v>107</v>
      </c>
      <c r="C33" s="79">
        <f>+SUMIF(Datos!$C$1:$C$783,A33,Datos!$F$1:$F$783)</f>
        <v>204</v>
      </c>
      <c r="D33" s="81">
        <f>+SUMIF(Datos!$C$1:$C$783,A33,Datos!$G$1:$G$783)</f>
        <v>0</v>
      </c>
      <c r="E33" s="116">
        <f t="shared" si="0"/>
        <v>311</v>
      </c>
    </row>
    <row r="34" spans="1:5">
      <c r="A34" s="113" t="s">
        <v>35</v>
      </c>
      <c r="B34" s="80">
        <f>+SUMIF(Datos!$C$1:$C$783,A34,Datos!$E$1:$E$783)</f>
        <v>4</v>
      </c>
      <c r="C34" s="79">
        <f>+SUMIF(Datos!$C$1:$C$783,A34,Datos!$F$1:$F$783)</f>
        <v>11</v>
      </c>
      <c r="D34" s="81">
        <f>+SUMIF(Datos!$C$1:$C$783,A34,Datos!$G$1:$G$783)</f>
        <v>0</v>
      </c>
      <c r="E34" s="116">
        <f t="shared" si="0"/>
        <v>15</v>
      </c>
    </row>
    <row r="35" spans="1:5">
      <c r="A35" s="113" t="s">
        <v>88</v>
      </c>
      <c r="B35" s="80">
        <f>+SUMIF(Datos!$C$1:$C$783,A35,Datos!$E$1:$E$783)</f>
        <v>0</v>
      </c>
      <c r="C35" s="79">
        <f>+SUMIF(Datos!$C$1:$C$783,A35,Datos!$F$1:$F$783)</f>
        <v>0</v>
      </c>
      <c r="D35" s="81">
        <f>+SUMIF(Datos!$C$1:$C$783,A35,Datos!$G$1:$G$783)</f>
        <v>0</v>
      </c>
      <c r="E35" s="116">
        <f t="shared" ref="E35:E59" si="1">+SUM(B35:D35)</f>
        <v>0</v>
      </c>
    </row>
    <row r="36" spans="1:5">
      <c r="A36" s="113" t="s">
        <v>75</v>
      </c>
      <c r="B36" s="80">
        <f>+SUMIF(Datos!$C$1:$C$783,A36,Datos!$E$1:$E$783)</f>
        <v>0</v>
      </c>
      <c r="C36" s="79">
        <f>+SUMIF(Datos!$C$1:$C$783,A36,Datos!$F$1:$F$783)</f>
        <v>0</v>
      </c>
      <c r="D36" s="81">
        <f>+SUMIF(Datos!$C$1:$C$783,A36,Datos!$G$1:$G$783)</f>
        <v>0</v>
      </c>
      <c r="E36" s="116">
        <f t="shared" si="1"/>
        <v>0</v>
      </c>
    </row>
    <row r="37" spans="1:5">
      <c r="A37" s="113" t="s">
        <v>120</v>
      </c>
      <c r="B37" s="80">
        <f>+SUMIF(Datos!$C$1:$C$783,A37,Datos!$E$1:$E$783)</f>
        <v>0</v>
      </c>
      <c r="C37" s="79">
        <f>+SUMIF(Datos!$C$1:$C$783,A37,Datos!$F$1:$F$783)</f>
        <v>5</v>
      </c>
      <c r="D37" s="81">
        <f>+SUMIF(Datos!$C$1:$C$783,A37,Datos!$G$1:$G$783)</f>
        <v>0</v>
      </c>
      <c r="E37" s="116">
        <f t="shared" si="1"/>
        <v>5</v>
      </c>
    </row>
    <row r="38" spans="1:5">
      <c r="A38" s="113" t="s">
        <v>118</v>
      </c>
      <c r="B38" s="80">
        <f>+SUMIF(Datos!$C$1:$C$783,A38,Datos!$E$1:$E$783)</f>
        <v>3</v>
      </c>
      <c r="C38" s="79">
        <f>+SUMIF(Datos!$C$1:$C$783,A38,Datos!$F$1:$F$783)</f>
        <v>4</v>
      </c>
      <c r="D38" s="81">
        <f>+SUMIF(Datos!$C$1:$C$783,A38,Datos!$G$1:$G$783)</f>
        <v>0</v>
      </c>
      <c r="E38" s="116">
        <f t="shared" si="1"/>
        <v>7</v>
      </c>
    </row>
    <row r="39" spans="1:5">
      <c r="A39" s="113" t="s">
        <v>23</v>
      </c>
      <c r="B39" s="80">
        <f>+SUMIF(Datos!$C$1:$C$783,A39,Datos!$E$1:$E$783)</f>
        <v>0</v>
      </c>
      <c r="C39" s="79">
        <f>+SUMIF(Datos!$C$1:$C$783,A39,Datos!$F$1:$F$783)</f>
        <v>0</v>
      </c>
      <c r="D39" s="81">
        <f>+SUMIF(Datos!$C$1:$C$783,A39,Datos!$G$1:$G$783)</f>
        <v>0</v>
      </c>
      <c r="E39" s="116">
        <f t="shared" si="1"/>
        <v>0</v>
      </c>
    </row>
    <row r="40" spans="1:5">
      <c r="A40" s="113" t="s">
        <v>29</v>
      </c>
      <c r="B40" s="80">
        <f>+SUMIF(Datos!$C$1:$C$783,A40,Datos!$E$1:$E$783)</f>
        <v>3</v>
      </c>
      <c r="C40" s="79">
        <f>+SUMIF(Datos!$C$1:$C$783,A40,Datos!$F$1:$F$783)</f>
        <v>0</v>
      </c>
      <c r="D40" s="81">
        <f>+SUMIF(Datos!$C$1:$C$783,A40,Datos!$G$1:$G$783)</f>
        <v>0</v>
      </c>
      <c r="E40" s="116">
        <f t="shared" si="1"/>
        <v>3</v>
      </c>
    </row>
    <row r="41" spans="1:5">
      <c r="A41" s="113" t="s">
        <v>39</v>
      </c>
      <c r="B41" s="80">
        <f>+SUMIF(Datos!$C$1:$C$783,A41,Datos!$E$1:$E$783)</f>
        <v>0</v>
      </c>
      <c r="C41" s="79">
        <f>+SUMIF(Datos!$C$1:$C$783,A41,Datos!$F$1:$F$783)</f>
        <v>0</v>
      </c>
      <c r="D41" s="81">
        <f>+SUMIF(Datos!$C$1:$C$783,A41,Datos!$G$1:$G$783)</f>
        <v>0</v>
      </c>
      <c r="E41" s="116">
        <f t="shared" si="1"/>
        <v>0</v>
      </c>
    </row>
    <row r="42" spans="1:5">
      <c r="A42" s="113" t="s">
        <v>89</v>
      </c>
      <c r="B42" s="80">
        <f>+SUMIF(Datos!$C$1:$C$783,A42,Datos!$E$1:$E$783)</f>
        <v>33</v>
      </c>
      <c r="C42" s="79">
        <f>+SUMIF(Datos!$C$1:$C$783,A42,Datos!$F$1:$F$783)</f>
        <v>67</v>
      </c>
      <c r="D42" s="81">
        <f>+SUMIF(Datos!$C$1:$C$783,A42,Datos!$G$1:$G$783)</f>
        <v>0</v>
      </c>
      <c r="E42" s="116">
        <f t="shared" si="1"/>
        <v>100</v>
      </c>
    </row>
    <row r="43" spans="1:5">
      <c r="A43" s="113" t="s">
        <v>77</v>
      </c>
      <c r="B43" s="80">
        <f>+SUMIF(Datos!$C$1:$C$783,A43,Datos!$E$1:$E$783)</f>
        <v>12</v>
      </c>
      <c r="C43" s="79">
        <f>+SUMIF(Datos!$C$1:$C$783,A43,Datos!$F$1:$F$783)</f>
        <v>84</v>
      </c>
      <c r="D43" s="81">
        <f>+SUMIF(Datos!$C$1:$C$783,A43,Datos!$G$1:$G$783)</f>
        <v>0</v>
      </c>
      <c r="E43" s="116">
        <f t="shared" si="1"/>
        <v>96</v>
      </c>
    </row>
    <row r="44" spans="1:5">
      <c r="A44" s="113" t="s">
        <v>25</v>
      </c>
      <c r="B44" s="80">
        <f>+SUMIF(Datos!$C$1:$C$783,A44,Datos!$E$1:$E$783)</f>
        <v>13</v>
      </c>
      <c r="C44" s="79">
        <f>+SUMIF(Datos!$C$1:$C$783,A44,Datos!$F$1:$F$783)</f>
        <v>51</v>
      </c>
      <c r="D44" s="81">
        <f>+SUMIF(Datos!$C$1:$C$783,A44,Datos!$G$1:$G$783)</f>
        <v>0</v>
      </c>
      <c r="E44" s="116">
        <f t="shared" si="1"/>
        <v>64</v>
      </c>
    </row>
    <row r="45" spans="1:5">
      <c r="A45" s="113" t="s">
        <v>26</v>
      </c>
      <c r="B45" s="80">
        <f>+SUMIF(Datos!$C$1:$C$783,A45,Datos!$E$1:$E$783)</f>
        <v>19</v>
      </c>
      <c r="C45" s="79">
        <f>+SUMIF(Datos!$C$1:$C$783,A45,Datos!$F$1:$F$783)</f>
        <v>24</v>
      </c>
      <c r="D45" s="81">
        <f>+SUMIF(Datos!$C$1:$C$783,A45,Datos!$G$1:$G$783)</f>
        <v>0</v>
      </c>
      <c r="E45" s="116">
        <f t="shared" si="1"/>
        <v>43</v>
      </c>
    </row>
    <row r="46" spans="1:5">
      <c r="A46" s="113" t="s">
        <v>90</v>
      </c>
      <c r="B46" s="80">
        <f>+SUMIF(Datos!$C$1:$C$783,A46,Datos!$E$1:$E$783)</f>
        <v>0</v>
      </c>
      <c r="C46" s="79">
        <f>+SUMIF(Datos!$C$1:$C$783,A46,Datos!$F$1:$F$783)</f>
        <v>0</v>
      </c>
      <c r="D46" s="81">
        <f>+SUMIF(Datos!$C$1:$C$783,A46,Datos!$G$1:$G$783)</f>
        <v>0</v>
      </c>
      <c r="E46" s="116">
        <f t="shared" si="1"/>
        <v>0</v>
      </c>
    </row>
    <row r="47" spans="1:5">
      <c r="A47" s="113" t="s">
        <v>27</v>
      </c>
      <c r="B47" s="80">
        <f>+SUMIF(Datos!$C$1:$C$783,A47,Datos!$E$1:$E$783)</f>
        <v>236</v>
      </c>
      <c r="C47" s="79">
        <f>+SUMIF(Datos!$C$1:$C$783,A47,Datos!$F$1:$F$783)</f>
        <v>433</v>
      </c>
      <c r="D47" s="81">
        <f>+SUMIF(Datos!$C$1:$C$783,A47,Datos!$G$1:$G$783)</f>
        <v>78</v>
      </c>
      <c r="E47" s="116">
        <f t="shared" si="1"/>
        <v>747</v>
      </c>
    </row>
    <row r="48" spans="1:5">
      <c r="A48" s="113" t="s">
        <v>11</v>
      </c>
      <c r="B48" s="80">
        <f>+SUMIF(Datos!$C$1:$C$783,A48,Datos!$E$1:$E$783)</f>
        <v>24</v>
      </c>
      <c r="C48" s="79">
        <f>+SUMIF(Datos!$C$1:$C$783,A48,Datos!$F$1:$F$783)</f>
        <v>209</v>
      </c>
      <c r="D48" s="81">
        <f>+SUMIF(Datos!$C$1:$C$783,A48,Datos!$G$1:$G$783)</f>
        <v>20</v>
      </c>
      <c r="E48" s="116">
        <f t="shared" si="1"/>
        <v>253</v>
      </c>
    </row>
    <row r="49" spans="1:5">
      <c r="A49" s="113" t="s">
        <v>17</v>
      </c>
      <c r="B49" s="80">
        <f>+SUMIF(Datos!$C$1:$C$783,A49,Datos!$E$1:$E$783)</f>
        <v>5</v>
      </c>
      <c r="C49" s="79">
        <f>+SUMIF(Datos!$C$1:$C$783,A49,Datos!$F$1:$F$783)</f>
        <v>0</v>
      </c>
      <c r="D49" s="81">
        <f>+SUMIF(Datos!$C$1:$C$783,A49,Datos!$G$1:$G$783)</f>
        <v>0</v>
      </c>
      <c r="E49" s="116">
        <f t="shared" si="1"/>
        <v>5</v>
      </c>
    </row>
    <row r="50" spans="1:5">
      <c r="A50" s="113" t="s">
        <v>76</v>
      </c>
      <c r="B50" s="80">
        <f>+SUMIF(Datos!$C$1:$C$783,A50,Datos!$E$1:$E$783)</f>
        <v>13</v>
      </c>
      <c r="C50" s="79">
        <f>+SUMIF(Datos!$C$1:$C$783,A50,Datos!$F$1:$F$783)</f>
        <v>0</v>
      </c>
      <c r="D50" s="81">
        <f>+SUMIF(Datos!$C$1:$C$783,A50,Datos!$G$1:$G$783)</f>
        <v>0</v>
      </c>
      <c r="E50" s="116">
        <f t="shared" si="1"/>
        <v>13</v>
      </c>
    </row>
    <row r="51" spans="1:5" s="123" customFormat="1">
      <c r="A51" s="149" t="s">
        <v>173</v>
      </c>
      <c r="B51" s="80">
        <f>+SUMIF(Datos!$C$1:$C$783,A51,Datos!$E$1:$E$783)</f>
        <v>0</v>
      </c>
      <c r="C51" s="79">
        <f>+SUMIF(Datos!$C$1:$C$783,A51,Datos!$F$1:$F$783)</f>
        <v>0</v>
      </c>
      <c r="D51" s="81">
        <f>+SUMIF(Datos!$C$1:$C$783,A51,Datos!$G$1:$G$783)</f>
        <v>0</v>
      </c>
      <c r="E51" s="116">
        <f t="shared" si="1"/>
        <v>0</v>
      </c>
    </row>
    <row r="52" spans="1:5" s="123" customFormat="1">
      <c r="A52" s="113" t="s">
        <v>38</v>
      </c>
      <c r="B52" s="80">
        <f>+SUMIF(Datos!$C$1:$C$783,A52,Datos!$E$1:$E$783)</f>
        <v>2</v>
      </c>
      <c r="C52" s="79">
        <f>+SUMIF(Datos!$C$1:$C$783,A52,Datos!$F$1:$F$783)</f>
        <v>0</v>
      </c>
      <c r="D52" s="81">
        <f>+SUMIF(Datos!$C$1:$C$783,A52,Datos!$G$1:$G$783)</f>
        <v>0</v>
      </c>
      <c r="E52" s="116">
        <f t="shared" si="1"/>
        <v>2</v>
      </c>
    </row>
    <row r="53" spans="1:5">
      <c r="A53" s="113" t="s">
        <v>30</v>
      </c>
      <c r="B53" s="80">
        <f>+SUMIF(Datos!$C$1:$C$783,A53,Datos!$E$1:$E$783)</f>
        <v>2</v>
      </c>
      <c r="C53" s="79">
        <f>+SUMIF(Datos!$C$1:$C$783,A53,Datos!$F$1:$F$783)</f>
        <v>3</v>
      </c>
      <c r="D53" s="81">
        <f>+SUMIF(Datos!$C$1:$C$783,A53,Datos!$G$1:$G$783)</f>
        <v>0</v>
      </c>
      <c r="E53" s="116">
        <f t="shared" si="1"/>
        <v>5</v>
      </c>
    </row>
    <row r="54" spans="1:5">
      <c r="A54" s="113" t="s">
        <v>170</v>
      </c>
      <c r="B54" s="80">
        <f>+SUMIF(Datos!$C$1:$C$783,A54,Datos!$E$1:$E$783)</f>
        <v>0</v>
      </c>
      <c r="C54" s="79">
        <f>+SUMIF(Datos!$C$1:$C$783,A54,Datos!$F$1:$F$783)</f>
        <v>0</v>
      </c>
      <c r="D54" s="81">
        <f>+SUMIF(Datos!$C$1:$C$783,A54,Datos!$G$1:$G$783)</f>
        <v>0</v>
      </c>
      <c r="E54" s="116">
        <f t="shared" si="1"/>
        <v>0</v>
      </c>
    </row>
    <row r="55" spans="1:5">
      <c r="A55" s="113" t="s">
        <v>19</v>
      </c>
      <c r="B55" s="80">
        <f>+SUMIF(Datos!$C$1:$C$783,A55,Datos!$E$1:$E$783)</f>
        <v>41</v>
      </c>
      <c r="C55" s="79">
        <f>+SUMIF(Datos!$C$1:$C$783,A55,Datos!$F$1:$F$783)</f>
        <v>118</v>
      </c>
      <c r="D55" s="81">
        <f>+SUMIF(Datos!$C$1:$C$783,A55,Datos!$G$1:$G$783)</f>
        <v>26</v>
      </c>
      <c r="E55" s="116">
        <f t="shared" si="1"/>
        <v>185</v>
      </c>
    </row>
    <row r="56" spans="1:5">
      <c r="A56" s="113" t="s">
        <v>16</v>
      </c>
      <c r="B56" s="80">
        <f>+SUMIF(Datos!$C$1:$C$783,A56,Datos!$E$1:$E$783)</f>
        <v>4</v>
      </c>
      <c r="C56" s="79">
        <f>+SUMIF(Datos!$C$1:$C$783,A56,Datos!$F$1:$F$783)</f>
        <v>1</v>
      </c>
      <c r="D56" s="81">
        <f>+SUMIF(Datos!$C$1:$C$783,A56,Datos!$G$1:$G$783)</f>
        <v>0</v>
      </c>
      <c r="E56" s="116">
        <f t="shared" si="1"/>
        <v>5</v>
      </c>
    </row>
    <row r="57" spans="1:5">
      <c r="A57" s="113" t="s">
        <v>34</v>
      </c>
      <c r="B57" s="80">
        <f>+SUMIF(Datos!$C$1:$C$783,A57,Datos!$E$1:$E$783)</f>
        <v>56</v>
      </c>
      <c r="C57" s="79">
        <f>+SUMIF(Datos!$C$1:$C$783,A57,Datos!$F$1:$F$783)</f>
        <v>328</v>
      </c>
      <c r="D57" s="81">
        <f>+SUMIF(Datos!$C$1:$C$783,A57,Datos!$G$1:$G$783)</f>
        <v>4</v>
      </c>
      <c r="E57" s="116">
        <f t="shared" si="1"/>
        <v>388</v>
      </c>
    </row>
    <row r="58" spans="1:5">
      <c r="A58" s="113" t="s">
        <v>22</v>
      </c>
      <c r="B58" s="80">
        <f>+SUMIF(Datos!$C$1:$C$783,A58,Datos!$E$1:$E$783)</f>
        <v>8</v>
      </c>
      <c r="C58" s="79">
        <f>+SUMIF(Datos!$C$1:$C$783,A58,Datos!$F$1:$F$783)</f>
        <v>44</v>
      </c>
      <c r="D58" s="81">
        <f>+SUMIF(Datos!$C$1:$C$783,A58,Datos!$G$1:$G$783)</f>
        <v>0</v>
      </c>
      <c r="E58" s="116">
        <f t="shared" si="1"/>
        <v>52</v>
      </c>
    </row>
    <row r="59" spans="1:5" ht="15.75" thickBot="1">
      <c r="A59" s="114" t="s">
        <v>121</v>
      </c>
      <c r="B59" s="105">
        <f>+SUMIF(Datos!$C$1:$C$783,A59,Datos!$E$1:$E$783)</f>
        <v>1</v>
      </c>
      <c r="C59" s="106">
        <f>+SUMIF(Datos!$C$1:$C$783,A59,Datos!$F$1:$F$783)</f>
        <v>0</v>
      </c>
      <c r="D59" s="107">
        <f>+SUMIF(Datos!$C$1:$C$783,A59,Datos!$G$1:$G$783)</f>
        <v>0</v>
      </c>
      <c r="E59" s="117">
        <f t="shared" si="1"/>
        <v>1</v>
      </c>
    </row>
    <row r="62" spans="1:5" ht="15.75" thickBot="1">
      <c r="B62" s="163" t="s">
        <v>149</v>
      </c>
      <c r="C62" s="163"/>
      <c r="D62" s="163"/>
      <c r="E62" s="163"/>
    </row>
    <row r="63" spans="1:5" ht="30.75" thickBot="1">
      <c r="B63" s="99" t="s">
        <v>150</v>
      </c>
      <c r="C63" s="100" t="s">
        <v>151</v>
      </c>
      <c r="D63" s="100" t="s">
        <v>152</v>
      </c>
      <c r="E63" s="101" t="s">
        <v>153</v>
      </c>
    </row>
    <row r="64" spans="1:5">
      <c r="A64" s="96" t="s">
        <v>155</v>
      </c>
      <c r="B64" s="79">
        <f>+B7+B19+B20+B21+B22+B23+B33+B34+B36+B41+B54+B57</f>
        <v>989</v>
      </c>
      <c r="C64" s="79">
        <f>+B4+B5+B10+B12+B13+B18+B25+B39+B43+B44+B45+B48+B49+B55+B56+B58+B59</f>
        <v>578</v>
      </c>
      <c r="D64" s="79">
        <f>+B9+B35+B50</f>
        <v>69</v>
      </c>
      <c r="E64" s="79">
        <f>+B3+B6+B8+B11+B14+B15+B16+B17+B24+B27+B28+B29+B30+B31+B32+B37+B38+B40+B42+B46+B47+B53</f>
        <v>367</v>
      </c>
    </row>
    <row r="65" spans="1:5">
      <c r="A65" s="96" t="s">
        <v>156</v>
      </c>
      <c r="B65" s="13">
        <f>+C7+C19+C20+C21+C22+C23+C33+C34+C36+C41+C54+C57</f>
        <v>2509</v>
      </c>
      <c r="C65" s="13">
        <f>+C4+C5+C10+C12+C13+C18+C25+C39+C43+C44+C45+C48+C49+C55+C56+C58+C59</f>
        <v>1473</v>
      </c>
      <c r="D65" s="13">
        <f>+C9+C35+C50</f>
        <v>331</v>
      </c>
      <c r="E65" s="13">
        <f>+C3+C6+C8+C11+C14+C15+C16+C17+C24+C27+C28+C29+C30+C31+C32+C37+C38+C40+C42+C46+C47+C53</f>
        <v>600</v>
      </c>
    </row>
    <row r="66" spans="1:5" ht="15.75" thickBot="1">
      <c r="A66" s="96" t="s">
        <v>157</v>
      </c>
      <c r="B66" s="98">
        <f>+D7+D19+D20+D21+D22+D23+D33+D34+D36+D41+D54+D57</f>
        <v>272</v>
      </c>
      <c r="C66" s="98">
        <f>+D4+D5+D10+D12+D13+D18+D25+D39+D43+D44+D45+D48+D49+D55+D56+D58+D59</f>
        <v>164</v>
      </c>
      <c r="D66" s="98">
        <f>+D9+D35+D50</f>
        <v>7</v>
      </c>
      <c r="E66" s="98">
        <f>+D3+D6+D8+D11+D14+D15+D16+D17+D24+D27+D28+D29+D30+D31+D32+D37+D38+D40+D42+D46+D47+D53</f>
        <v>78</v>
      </c>
    </row>
    <row r="67" spans="1:5" ht="15.75" thickBot="1">
      <c r="A67" s="96" t="s">
        <v>158</v>
      </c>
      <c r="B67" s="103">
        <f>+SUM(B64:B66)</f>
        <v>3770</v>
      </c>
      <c r="C67" s="104">
        <f t="shared" ref="C67:D67" si="2">+SUM(C64:C66)</f>
        <v>2215</v>
      </c>
      <c r="D67" s="104">
        <f t="shared" si="2"/>
        <v>407</v>
      </c>
      <c r="E67" s="8">
        <f>+SUM(E64:E66)</f>
        <v>1045</v>
      </c>
    </row>
    <row r="69" spans="1:5">
      <c r="B69" s="102" t="s">
        <v>159</v>
      </c>
      <c r="C69" s="97">
        <f>+SUM(B67:E67)</f>
        <v>7437</v>
      </c>
    </row>
  </sheetData>
  <sortState ref="A3:E59">
    <sortCondition ref="A59"/>
  </sortState>
  <mergeCells count="1">
    <mergeCell ref="B62:E62"/>
  </mergeCells>
  <pageMargins left="0.70866141732283472" right="0.70866141732283472" top="0.74803149606299213" bottom="0.74803149606299213" header="0.31496062992125984" footer="0.31496062992125984"/>
  <pageSetup orientation="portrait" verticalDpi="0" r:id="rId1"/>
  <headerFooter>
    <oddHeader>&amp;L&amp;G&amp;C&amp;"-,Negrita"&amp;16INFORME DE UNIDADES IRRADIADAS</oddHead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8"/>
  <dimension ref="A1:E43"/>
  <sheetViews>
    <sheetView view="pageLayout" topLeftCell="A7" workbookViewId="0">
      <selection activeCell="D34" sqref="D34"/>
    </sheetView>
  </sheetViews>
  <sheetFormatPr baseColWidth="10" defaultColWidth="11.42578125" defaultRowHeight="15"/>
  <cols>
    <col min="1" max="1" width="26.42578125" style="20" customWidth="1"/>
    <col min="2" max="2" width="13.28515625" style="20" customWidth="1"/>
    <col min="3" max="4" width="13.28515625" customWidth="1"/>
    <col min="5" max="5" width="16" style="78" customWidth="1"/>
  </cols>
  <sheetData>
    <row r="1" spans="1:5">
      <c r="A1" s="96" t="s">
        <v>148</v>
      </c>
      <c r="B1" s="120" t="s">
        <v>167</v>
      </c>
      <c r="C1" s="95">
        <v>2018</v>
      </c>
    </row>
    <row r="2" spans="1:5" s="123" customFormat="1" ht="15.75" thickBot="1">
      <c r="A2" s="141" t="s">
        <v>168</v>
      </c>
      <c r="B2" s="120"/>
      <c r="C2" s="129"/>
      <c r="E2" s="78"/>
    </row>
    <row r="3" spans="1:5" ht="22.35" customHeight="1" thickBot="1">
      <c r="A3" s="83" t="s">
        <v>10</v>
      </c>
      <c r="B3" s="83" t="s">
        <v>3</v>
      </c>
      <c r="C3" s="83" t="s">
        <v>4</v>
      </c>
      <c r="D3" s="83" t="s">
        <v>5</v>
      </c>
      <c r="E3" s="82" t="s">
        <v>127</v>
      </c>
    </row>
    <row r="4" spans="1:5">
      <c r="A4" s="110" t="s">
        <v>79</v>
      </c>
      <c r="B4" s="80">
        <f>+SUMIFS(Datos!$E$4:$E$865,Datos!$C$4:$C$865,A4,Datos!$L$4:$L$865,"NO")</f>
        <v>125</v>
      </c>
      <c r="C4" s="79">
        <f>+SUMIFS(Datos!$J$4:$J$865,Datos!$C$4:$C$865,A4,Datos!$L$4:$L$865,"NO")</f>
        <v>2</v>
      </c>
      <c r="D4" s="81">
        <f>+SUMIFS(Datos!$K$4:$K$865,Datos!$C$4:$C$865,A4,Datos!$L$4:$L$865,"NO")</f>
        <v>58</v>
      </c>
      <c r="E4" s="108">
        <f t="shared" ref="E4:E18" si="0">+SUM(B4:D4)</f>
        <v>185</v>
      </c>
    </row>
    <row r="5" spans="1:5">
      <c r="A5" s="110" t="s">
        <v>28</v>
      </c>
      <c r="B5" s="80">
        <f>+SUMIFS(Datos!$E$4:$E$865,Datos!$C$4:$C$865,A5,Datos!$L$4:$L$865,"NO")</f>
        <v>9</v>
      </c>
      <c r="C5" s="79">
        <f>+SUMIFS(Datos!$J$4:$J$865,Datos!$C$4:$C$865,A5,Datos!$L$4:$L$865,"NO")</f>
        <v>5</v>
      </c>
      <c r="D5" s="81">
        <f>+SUMIFS(Datos!$K$4:$K$865,Datos!$C$4:$C$865,A5,Datos!$L$4:$L$865,"NO")</f>
        <v>1</v>
      </c>
      <c r="E5" s="108">
        <f t="shared" si="0"/>
        <v>15</v>
      </c>
    </row>
    <row r="6" spans="1:5">
      <c r="A6" s="110" t="s">
        <v>110</v>
      </c>
      <c r="B6" s="80">
        <f>+SUMIFS(Datos!$E$4:$E$865,Datos!$C$4:$C$865,A6,Datos!$L$4:$L$865,"NO")</f>
        <v>0</v>
      </c>
      <c r="C6" s="79">
        <f>+SUMIFS(Datos!$J$4:$J$865,Datos!$C$4:$C$865,A6,Datos!$L$4:$L$865,"NO")</f>
        <v>0</v>
      </c>
      <c r="D6" s="81">
        <f>+SUMIFS(Datos!$K$4:$K$865,Datos!$C$4:$C$865,A6,Datos!$L$4:$L$865,"NO")</f>
        <v>0</v>
      </c>
      <c r="E6" s="108">
        <f t="shared" si="0"/>
        <v>0</v>
      </c>
    </row>
    <row r="7" spans="1:5">
      <c r="A7" s="110" t="s">
        <v>13</v>
      </c>
      <c r="B7" s="80">
        <f>+SUMIFS(Datos!$E$4:$E$865,Datos!$C$4:$C$865,A7,Datos!$L$4:$L$865,"NO")</f>
        <v>543</v>
      </c>
      <c r="C7" s="79">
        <f>+SUMIFS(Datos!$J$4:$J$865,Datos!$C$4:$C$865,A7,Datos!$L$4:$L$865,"NO")</f>
        <v>361</v>
      </c>
      <c r="D7" s="81">
        <f>+SUMIFS(Datos!$K$4:$K$865,Datos!$C$4:$C$865,A7,Datos!$L$4:$L$865,"NO")</f>
        <v>84</v>
      </c>
      <c r="E7" s="108">
        <f t="shared" si="0"/>
        <v>988</v>
      </c>
    </row>
    <row r="8" spans="1:5">
      <c r="A8" s="110" t="s">
        <v>108</v>
      </c>
      <c r="B8" s="80">
        <f>+SUMIFS(Datos!$E$4:$E$865,Datos!$C$4:$C$865,A8,Datos!$L$4:$L$865,"NO")</f>
        <v>0</v>
      </c>
      <c r="C8" s="79">
        <f>+SUMIFS(Datos!$J$4:$J$865,Datos!$C$4:$C$865,A8,Datos!$L$4:$L$865,"NO")</f>
        <v>0</v>
      </c>
      <c r="D8" s="81">
        <f>+SUMIFS(Datos!$K$4:$K$865,Datos!$C$4:$C$865,A8,Datos!$L$4:$L$865,"NO")</f>
        <v>0</v>
      </c>
      <c r="E8" s="108">
        <f t="shared" si="0"/>
        <v>0</v>
      </c>
    </row>
    <row r="9" spans="1:5">
      <c r="A9" s="110" t="s">
        <v>109</v>
      </c>
      <c r="B9" s="80">
        <f>+SUMIFS(Datos!$E$4:$E$865,Datos!$C$4:$C$865,A9,Datos!$L$4:$L$865,"NO")</f>
        <v>6</v>
      </c>
      <c r="C9" s="79">
        <f>+SUMIFS(Datos!$J$4:$J$865,Datos!$C$4:$C$865,A9,Datos!$L$4:$L$865,"NO")</f>
        <v>3</v>
      </c>
      <c r="D9" s="81">
        <f>+SUMIFS(Datos!$K$4:$K$865,Datos!$C$4:$C$865,A9,Datos!$L$4:$L$865,"NO")</f>
        <v>0</v>
      </c>
      <c r="E9" s="108">
        <f t="shared" si="0"/>
        <v>9</v>
      </c>
    </row>
    <row r="10" spans="1:5">
      <c r="A10" s="110" t="s">
        <v>36</v>
      </c>
      <c r="B10" s="80">
        <f>+SUMIFS(Datos!$E$4:$E$865,Datos!$C$4:$C$865,A10,Datos!$L$4:$L$865,"NO")</f>
        <v>45</v>
      </c>
      <c r="C10" s="79">
        <f>+SUMIFS(Datos!$J$4:$J$865,Datos!$C$4:$C$865,A10,Datos!$L$4:$L$865,"NO")</f>
        <v>68</v>
      </c>
      <c r="D10" s="81">
        <f>+SUMIFS(Datos!$K$4:$K$865,Datos!$C$4:$C$865,A10,Datos!$L$4:$L$865,"NO")</f>
        <v>0</v>
      </c>
      <c r="E10" s="108">
        <f t="shared" si="0"/>
        <v>113</v>
      </c>
    </row>
    <row r="11" spans="1:5">
      <c r="A11" s="110" t="s">
        <v>33</v>
      </c>
      <c r="B11" s="80">
        <f>+SUMIFS(Datos!$E$4:$E$865,Datos!$C$4:$C$865,A11,Datos!$L$4:$L$865,"NO")</f>
        <v>107</v>
      </c>
      <c r="C11" s="79">
        <f>+SUMIFS(Datos!$J$4:$J$865,Datos!$C$4:$C$865,A11,Datos!$L$4:$L$865,"NO")</f>
        <v>57</v>
      </c>
      <c r="D11" s="81">
        <f>+SUMIFS(Datos!$K$4:$K$865,Datos!$C$4:$C$865,A11,Datos!$L$4:$L$865,"NO")</f>
        <v>0</v>
      </c>
      <c r="E11" s="108">
        <f t="shared" si="0"/>
        <v>164</v>
      </c>
    </row>
    <row r="12" spans="1:5">
      <c r="A12" s="110" t="s">
        <v>35</v>
      </c>
      <c r="B12" s="80">
        <f>+SUMIFS(Datos!$E$4:$E$865,Datos!$C$4:$C$865,A12,Datos!$L$4:$L$865,"NO")</f>
        <v>2</v>
      </c>
      <c r="C12" s="79">
        <f>+SUMIFS(Datos!$J$4:$J$865,Datos!$C$4:$C$865,A12,Datos!$L$4:$L$865,"NO")</f>
        <v>2</v>
      </c>
      <c r="D12" s="81">
        <f>+SUMIFS(Datos!$K$4:$K$865,Datos!$C$4:$C$865,A12,Datos!$L$4:$L$865,"NO")</f>
        <v>0</v>
      </c>
      <c r="E12" s="108">
        <f t="shared" si="0"/>
        <v>4</v>
      </c>
    </row>
    <row r="13" spans="1:5">
      <c r="A13" s="110" t="s">
        <v>88</v>
      </c>
      <c r="B13" s="80">
        <f>+SUMIFS(Datos!$E$4:$E$865,Datos!$C$4:$C$865,A13,Datos!$L$4:$L$865,"NO")</f>
        <v>0</v>
      </c>
      <c r="C13" s="79">
        <f>+SUMIFS(Datos!$J$4:$J$865,Datos!$C$4:$C$865,A13,Datos!$L$4:$L$865,"NO")</f>
        <v>0</v>
      </c>
      <c r="D13" s="81">
        <f>+SUMIFS(Datos!$K$4:$K$865,Datos!$C$4:$C$865,A13,Datos!$L$4:$L$865,"NO")</f>
        <v>0</v>
      </c>
      <c r="E13" s="108">
        <f t="shared" si="0"/>
        <v>0</v>
      </c>
    </row>
    <row r="14" spans="1:5">
      <c r="A14" s="110" t="s">
        <v>75</v>
      </c>
      <c r="B14" s="80">
        <f>+SUMIFS(Datos!$E$4:$E$865,Datos!$C$4:$C$865,A14,Datos!$L$4:$L$865,"NO")</f>
        <v>0</v>
      </c>
      <c r="C14" s="79">
        <f>+SUMIFS(Datos!$J$4:$J$865,Datos!$C$4:$C$865,A14,Datos!$L$4:$L$865,"NO")</f>
        <v>0</v>
      </c>
      <c r="D14" s="81">
        <f>+SUMIFS(Datos!$K$4:$K$865,Datos!$C$4:$C$865,A14,Datos!$L$4:$L$865,"NO")</f>
        <v>0</v>
      </c>
      <c r="E14" s="108">
        <f t="shared" si="0"/>
        <v>0</v>
      </c>
    </row>
    <row r="15" spans="1:5">
      <c r="A15" s="110" t="s">
        <v>39</v>
      </c>
      <c r="B15" s="80">
        <f>+SUMIFS(Datos!$E$4:$E$865,Datos!$C$4:$C$865,A15,Datos!$L$4:$L$865,"NO")</f>
        <v>0</v>
      </c>
      <c r="C15" s="79">
        <f>+SUMIFS(Datos!$J$4:$J$865,Datos!$C$4:$C$865,A15,Datos!$L$4:$L$865,"NO")</f>
        <v>0</v>
      </c>
      <c r="D15" s="81">
        <f>+SUMIFS(Datos!$K$4:$K$865,Datos!$C$4:$C$865,A15,Datos!$L$4:$L$865,"NO")</f>
        <v>0</v>
      </c>
      <c r="E15" s="108">
        <f t="shared" si="0"/>
        <v>0</v>
      </c>
    </row>
    <row r="16" spans="1:5">
      <c r="A16" s="110" t="s">
        <v>76</v>
      </c>
      <c r="B16" s="80">
        <f>+SUMIFS(Datos!$E$4:$E$865,Datos!$C$4:$C$865,A16,Datos!$L$4:$L$865,"NO")</f>
        <v>13</v>
      </c>
      <c r="C16" s="79">
        <f>+SUMIFS(Datos!$J$4:$J$865,Datos!$C$4:$C$865,A16,Datos!$L$4:$L$865,"NO")</f>
        <v>0</v>
      </c>
      <c r="D16" s="81">
        <f>+SUMIFS(Datos!$K$4:$K$865,Datos!$C$4:$C$865,A16,Datos!$L$4:$L$865,"NO")</f>
        <v>0</v>
      </c>
      <c r="E16" s="108">
        <f t="shared" si="0"/>
        <v>13</v>
      </c>
    </row>
    <row r="17" spans="1:5">
      <c r="A17" s="110" t="s">
        <v>30</v>
      </c>
      <c r="B17" s="80">
        <f>+SUMIFS(Datos!$E$4:$E$865,Datos!$C$4:$C$865,A17,Datos!$L$4:$L$865,"NO")</f>
        <v>2</v>
      </c>
      <c r="C17" s="79">
        <f>+SUMIFS(Datos!$J$4:$J$865,Datos!$C$4:$C$865,A17,Datos!$L$4:$L$865,"NO")</f>
        <v>1</v>
      </c>
      <c r="D17" s="81">
        <f>+SUMIFS(Datos!$K$4:$K$865,Datos!$C$4:$C$865,A17,Datos!$L$4:$L$865,"NO")</f>
        <v>0</v>
      </c>
      <c r="E17" s="108">
        <f t="shared" si="0"/>
        <v>3</v>
      </c>
    </row>
    <row r="18" spans="1:5" ht="15.75" thickBot="1">
      <c r="A18" s="111" t="s">
        <v>34</v>
      </c>
      <c r="B18" s="80">
        <f>+SUMIFS(Datos!$E$4:$E$865,Datos!$C$4:$C$865,A18,Datos!$L$4:$L$865,"NO")</f>
        <v>56</v>
      </c>
      <c r="C18" s="79">
        <f>+SUMIFS(Datos!$J$4:$J$865,Datos!$C$4:$C$865,A18,Datos!$L$4:$L$865,"NO")</f>
        <v>82</v>
      </c>
      <c r="D18" s="81">
        <f>+SUMIFS(Datos!$K$4:$K$865,Datos!$C$4:$C$865,A18,Datos!$L$4:$L$865,"NO")</f>
        <v>3</v>
      </c>
      <c r="E18" s="109">
        <f t="shared" si="0"/>
        <v>141</v>
      </c>
    </row>
    <row r="19" spans="1:5" ht="15.75" thickBot="1">
      <c r="D19" s="164" t="s">
        <v>160</v>
      </c>
      <c r="E19" s="164"/>
    </row>
    <row r="20" spans="1:5" ht="15.75" thickBot="1">
      <c r="D20" s="118" t="s">
        <v>150</v>
      </c>
      <c r="E20" s="119" t="s">
        <v>152</v>
      </c>
    </row>
    <row r="21" spans="1:5" ht="15.75" thickBot="1">
      <c r="D21" s="103">
        <f>+E4+E6+E7+E8+E9+E10+E11+E12+E14+E15+E17+E18</f>
        <v>1607</v>
      </c>
      <c r="E21" s="8">
        <f>+E16+E13+E5</f>
        <v>28</v>
      </c>
    </row>
    <row r="22" spans="1:5">
      <c r="D22" s="97" t="s">
        <v>154</v>
      </c>
      <c r="E22" s="97">
        <f>+SUM(D21:E21)</f>
        <v>1635</v>
      </c>
    </row>
    <row r="23" spans="1:5" ht="15.75" thickBot="1">
      <c r="A23" s="141" t="s">
        <v>169</v>
      </c>
    </row>
    <row r="24" spans="1:5" ht="30.75" thickBot="1">
      <c r="A24" s="83" t="s">
        <v>10</v>
      </c>
      <c r="B24" s="83" t="s">
        <v>3</v>
      </c>
      <c r="C24" s="83" t="s">
        <v>4</v>
      </c>
      <c r="D24" s="83" t="s">
        <v>5</v>
      </c>
      <c r="E24" s="82" t="s">
        <v>127</v>
      </c>
    </row>
    <row r="25" spans="1:5">
      <c r="A25" s="156" t="s">
        <v>79</v>
      </c>
      <c r="B25" s="79">
        <f>+SUMIFS(Datos!$E$4:$E$865,Datos!$C$4:$C$865,A25,Datos!$L$4:$L$865,"SI")</f>
        <v>0</v>
      </c>
      <c r="C25" s="79">
        <f>+SUMIFS(Datos!$J$4:$J$865,Datos!$C$4:$C$865,A25,Datos!$L$4:$L$865,"SI")</f>
        <v>0</v>
      </c>
      <c r="D25" s="79">
        <f>+SUMIFS(Datos!$K$4:$K$865,Datos!$C$4:$C$865,A25,Datos!$L$4:$L$865,"SI")</f>
        <v>0</v>
      </c>
      <c r="E25" s="157">
        <f t="shared" ref="E25:E39" si="1">+SUM(B25:D25)</f>
        <v>0</v>
      </c>
    </row>
    <row r="26" spans="1:5">
      <c r="A26" s="154" t="s">
        <v>28</v>
      </c>
      <c r="B26" s="79">
        <f>+SUMIFS(Datos!$E$4:$E$865,Datos!$C$4:$C$865,A26,Datos!$L$4:$L$865,"SI")</f>
        <v>47</v>
      </c>
      <c r="C26" s="79">
        <f>+SUMIFS(Datos!$J$4:$J$865,Datos!$C$4:$C$865,A26,Datos!$L$4:$L$865,"SI")</f>
        <v>84</v>
      </c>
      <c r="D26" s="79">
        <f>+SUMIFS(Datos!$K$4:$K$865,Datos!$C$4:$C$865,A26,Datos!$L$4:$L$865,"SI")</f>
        <v>3</v>
      </c>
      <c r="E26" s="142">
        <f t="shared" si="1"/>
        <v>134</v>
      </c>
    </row>
    <row r="27" spans="1:5">
      <c r="A27" s="154" t="s">
        <v>110</v>
      </c>
      <c r="B27" s="79">
        <f>+SUMIFS(Datos!$E$4:$E$865,Datos!$C$4:$C$865,A27,Datos!$L$4:$L$865,"SI")</f>
        <v>0</v>
      </c>
      <c r="C27" s="79">
        <f>+SUMIFS(Datos!$J$4:$J$865,Datos!$C$4:$C$865,A27,Datos!$L$4:$L$865,"SI")</f>
        <v>0</v>
      </c>
      <c r="D27" s="79">
        <f>+SUMIFS(Datos!$K$4:$K$865,Datos!$C$4:$C$865,A27,Datos!$L$4:$L$865,"SI")</f>
        <v>0</v>
      </c>
      <c r="E27" s="142">
        <f t="shared" si="1"/>
        <v>0</v>
      </c>
    </row>
    <row r="28" spans="1:5">
      <c r="A28" s="154" t="s">
        <v>13</v>
      </c>
      <c r="B28" s="79">
        <f>+SUMIFS(Datos!$E$4:$E$865,Datos!$C$4:$C$865,A28,Datos!$L$4:$L$865,"SI")</f>
        <v>13</v>
      </c>
      <c r="C28" s="79">
        <f>+SUMIFS(Datos!$J$4:$J$865,Datos!$C$4:$C$865,A28,Datos!$L$4:$L$865,"SI")</f>
        <v>9</v>
      </c>
      <c r="D28" s="79">
        <f>+SUMIFS(Datos!$K$4:$K$865,Datos!$C$4:$C$865,A28,Datos!$L$4:$L$865,"SI")</f>
        <v>0</v>
      </c>
      <c r="E28" s="142">
        <f t="shared" si="1"/>
        <v>22</v>
      </c>
    </row>
    <row r="29" spans="1:5">
      <c r="A29" s="154" t="s">
        <v>108</v>
      </c>
      <c r="B29" s="79">
        <f>+SUMIFS(Datos!$E$4:$E$865,Datos!$C$4:$C$865,A29,Datos!$L$4:$L$865,"SI")</f>
        <v>0</v>
      </c>
      <c r="C29" s="79">
        <f>+SUMIFS(Datos!$J$4:$J$865,Datos!$C$4:$C$865,A29,Datos!$L$4:$L$865,"SI")</f>
        <v>0</v>
      </c>
      <c r="D29" s="79">
        <f>+SUMIFS(Datos!$K$4:$K$865,Datos!$C$4:$C$865,A29,Datos!$L$4:$L$865,"SI")</f>
        <v>0</v>
      </c>
      <c r="E29" s="142">
        <f t="shared" si="1"/>
        <v>0</v>
      </c>
    </row>
    <row r="30" spans="1:5">
      <c r="A30" s="154" t="s">
        <v>109</v>
      </c>
      <c r="B30" s="79">
        <f>+SUMIFS(Datos!$E$4:$E$865,Datos!$C$4:$C$865,A30,Datos!$L$4:$L$865,"SI")</f>
        <v>0</v>
      </c>
      <c r="C30" s="79">
        <f>+SUMIFS(Datos!$J$4:$J$865,Datos!$C$4:$C$865,A30,Datos!$L$4:$L$865,"SI")</f>
        <v>0</v>
      </c>
      <c r="D30" s="79">
        <f>+SUMIFS(Datos!$K$4:$K$865,Datos!$C$4:$C$865,A30,Datos!$L$4:$L$865,"SI")</f>
        <v>0</v>
      </c>
      <c r="E30" s="142">
        <f t="shared" si="1"/>
        <v>0</v>
      </c>
    </row>
    <row r="31" spans="1:5">
      <c r="A31" s="154" t="s">
        <v>36</v>
      </c>
      <c r="B31" s="79">
        <f>+SUMIFS(Datos!$E$4:$E$865,Datos!$C$4:$C$865,A31,Datos!$L$4:$L$865,"SI")</f>
        <v>90</v>
      </c>
      <c r="C31" s="79">
        <f>+SUMIFS(Datos!$J$4:$J$865,Datos!$C$4:$C$865,A31,Datos!$L$4:$L$865,"SI")</f>
        <v>78</v>
      </c>
      <c r="D31" s="79">
        <f>+SUMIFS(Datos!$K$4:$K$865,Datos!$C$4:$C$865,A31,Datos!$L$4:$L$865,"SI")</f>
        <v>0</v>
      </c>
      <c r="E31" s="142">
        <f t="shared" si="1"/>
        <v>168</v>
      </c>
    </row>
    <row r="32" spans="1:5">
      <c r="A32" s="154" t="s">
        <v>33</v>
      </c>
      <c r="B32" s="79">
        <f>+SUMIFS(Datos!$E$4:$E$865,Datos!$C$4:$C$865,A32,Datos!$L$4:$L$865,"SI")</f>
        <v>0</v>
      </c>
      <c r="C32" s="79">
        <f>+SUMIFS(Datos!$J$4:$J$865,Datos!$C$4:$C$865,A32,Datos!$L$4:$L$865,"SI")</f>
        <v>0</v>
      </c>
      <c r="D32" s="79">
        <f>+SUMIFS(Datos!$K$4:$K$865,Datos!$C$4:$C$865,A32,Datos!$L$4:$L$865,"SI")</f>
        <v>0</v>
      </c>
      <c r="E32" s="142">
        <f t="shared" si="1"/>
        <v>0</v>
      </c>
    </row>
    <row r="33" spans="1:5">
      <c r="A33" s="154" t="s">
        <v>35</v>
      </c>
      <c r="B33" s="79">
        <f>+SUMIFS(Datos!$E$4:$E$865,Datos!$C$4:$C$865,A33,Datos!$L$4:$L$865,"SI")</f>
        <v>0</v>
      </c>
      <c r="C33" s="79">
        <f>+SUMIFS(Datos!$J$4:$J$865,Datos!$C$4:$C$865,A33,Datos!$L$4:$L$865,"SI")</f>
        <v>0</v>
      </c>
      <c r="D33" s="79">
        <f>+SUMIFS(Datos!$K$4:$K$865,Datos!$C$4:$C$865,A33,Datos!$L$4:$L$865,"SI")</f>
        <v>0</v>
      </c>
      <c r="E33" s="142">
        <f t="shared" si="1"/>
        <v>0</v>
      </c>
    </row>
    <row r="34" spans="1:5">
      <c r="A34" s="154" t="s">
        <v>88</v>
      </c>
      <c r="B34" s="79">
        <f>+SUMIFS(Datos!$E$4:$E$865,Datos!$C$4:$C$865,A34,Datos!$L$4:$L$865,"SI")</f>
        <v>0</v>
      </c>
      <c r="C34" s="79">
        <f>+SUMIFS(Datos!$J$4:$J$865,Datos!$C$4:$C$865,A34,Datos!$L$4:$L$865,"SI")</f>
        <v>0</v>
      </c>
      <c r="D34" s="79">
        <f>+SUMIFS(Datos!$K$4:$K$865,Datos!$C$4:$C$865,A34,Datos!$L$4:$L$865,"SI")</f>
        <v>0</v>
      </c>
      <c r="E34" s="142">
        <f t="shared" si="1"/>
        <v>0</v>
      </c>
    </row>
    <row r="35" spans="1:5">
      <c r="A35" s="154" t="s">
        <v>75</v>
      </c>
      <c r="B35" s="79">
        <f>+SUMIFS(Datos!$E$4:$E$865,Datos!$C$4:$C$865,A35,Datos!$L$4:$L$865,"SI")</f>
        <v>0</v>
      </c>
      <c r="C35" s="79">
        <f>+SUMIFS(Datos!$J$4:$J$865,Datos!$C$4:$C$865,A35,Datos!$L$4:$L$865,"SI")</f>
        <v>0</v>
      </c>
      <c r="D35" s="79">
        <f>+SUMIFS(Datos!$K$4:$K$865,Datos!$C$4:$C$865,A35,Datos!$L$4:$L$865,"SI")</f>
        <v>0</v>
      </c>
      <c r="E35" s="142">
        <f t="shared" si="1"/>
        <v>0</v>
      </c>
    </row>
    <row r="36" spans="1:5">
      <c r="A36" s="154" t="s">
        <v>39</v>
      </c>
      <c r="B36" s="79">
        <f>+SUMIFS(Datos!$E$4:$E$865,Datos!$C$4:$C$865,A36,Datos!$L$4:$L$865,"SI")</f>
        <v>0</v>
      </c>
      <c r="C36" s="79">
        <f>+SUMIFS(Datos!$J$4:$J$865,Datos!$C$4:$C$865,A36,Datos!$L$4:$L$865,"SI")</f>
        <v>0</v>
      </c>
      <c r="D36" s="79">
        <f>+SUMIFS(Datos!$K$4:$K$865,Datos!$C$4:$C$865,A36,Datos!$L$4:$L$865,"SI")</f>
        <v>0</v>
      </c>
      <c r="E36" s="142">
        <f t="shared" si="1"/>
        <v>0</v>
      </c>
    </row>
    <row r="37" spans="1:5">
      <c r="A37" s="154" t="s">
        <v>76</v>
      </c>
      <c r="B37" s="79">
        <f>+SUMIFS(Datos!$E$4:$E$865,Datos!$C$4:$C$865,A37,Datos!$L$4:$L$865,"SI")</f>
        <v>0</v>
      </c>
      <c r="C37" s="79">
        <f>+SUMIFS(Datos!$J$4:$J$865,Datos!$C$4:$C$865,A37,Datos!$L$4:$L$865,"SI")</f>
        <v>0</v>
      </c>
      <c r="D37" s="79">
        <f>+SUMIFS(Datos!$K$4:$K$865,Datos!$C$4:$C$865,A37,Datos!$L$4:$L$865,"SI")</f>
        <v>0</v>
      </c>
      <c r="E37" s="142">
        <f t="shared" si="1"/>
        <v>0</v>
      </c>
    </row>
    <row r="38" spans="1:5">
      <c r="A38" s="154" t="s">
        <v>30</v>
      </c>
      <c r="B38" s="79">
        <f>+SUMIFS(Datos!$E$4:$E$865,Datos!$C$4:$C$865,A38,Datos!$L$4:$L$865,"SI")</f>
        <v>0</v>
      </c>
      <c r="C38" s="79">
        <f>+SUMIFS(Datos!$J$4:$J$865,Datos!$C$4:$C$865,A38,Datos!$L$4:$L$865,"SI")</f>
        <v>0</v>
      </c>
      <c r="D38" s="79">
        <f>+SUMIFS(Datos!$K$4:$K$865,Datos!$C$4:$C$865,A38,Datos!$L$4:$L$865,"SI")</f>
        <v>0</v>
      </c>
      <c r="E38" s="142">
        <f t="shared" si="1"/>
        <v>0</v>
      </c>
    </row>
    <row r="39" spans="1:5" ht="15.75" thickBot="1">
      <c r="A39" s="155" t="s">
        <v>34</v>
      </c>
      <c r="B39" s="79">
        <f>+SUMIFS(Datos!$E$4:$E$865,Datos!$C$4:$C$865,A39,Datos!$L$4:$L$865,"SI")</f>
        <v>0</v>
      </c>
      <c r="C39" s="79">
        <f>+SUMIFS(Datos!$J$4:$J$865,Datos!$C$4:$C$865,A39,Datos!$L$4:$L$865,"SI")</f>
        <v>0</v>
      </c>
      <c r="D39" s="79">
        <f>+SUMIFS(Datos!$K$4:$K$865,Datos!$C$4:$C$865,A39,Datos!$L$4:$L$865,"SI")</f>
        <v>0</v>
      </c>
      <c r="E39" s="143">
        <f t="shared" si="1"/>
        <v>0</v>
      </c>
    </row>
    <row r="40" spans="1:5" ht="15.75" thickBot="1">
      <c r="C40" s="123"/>
      <c r="D40" s="164" t="s">
        <v>160</v>
      </c>
      <c r="E40" s="164"/>
    </row>
    <row r="41" spans="1:5" ht="15.75" thickBot="1">
      <c r="C41" s="123"/>
      <c r="D41" s="118" t="s">
        <v>150</v>
      </c>
      <c r="E41" s="119" t="s">
        <v>152</v>
      </c>
    </row>
    <row r="42" spans="1:5" ht="15.75" thickBot="1">
      <c r="C42" s="123"/>
      <c r="D42" s="103">
        <f>+E25+E27+E28+E29+E30+E31+E32+E33+E35+E36+E38+E39</f>
        <v>190</v>
      </c>
      <c r="E42" s="8">
        <f>+E37+E34+E26</f>
        <v>134</v>
      </c>
    </row>
    <row r="43" spans="1:5">
      <c r="C43" s="123"/>
      <c r="D43" s="97" t="s">
        <v>154</v>
      </c>
      <c r="E43" s="97">
        <f>+SUM(D42:E42)</f>
        <v>324</v>
      </c>
    </row>
  </sheetData>
  <mergeCells count="2">
    <mergeCell ref="D19:E19"/>
    <mergeCell ref="D40:E40"/>
  </mergeCells>
  <pageMargins left="0.70866141732283472" right="0.70866141732283472" top="0.74803149606299213" bottom="0.74803149606299213" header="0.31496062992125984" footer="0.31496062992125984"/>
  <pageSetup orientation="portrait" verticalDpi="0" r:id="rId1"/>
  <headerFooter>
    <oddHeader>&amp;L&amp;G&amp;C&amp;"-,Negrita"&amp;16INFORME DE UNIDADES IRRADIADAS</oddHead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1"/>
  <dimension ref="A1:C30"/>
  <sheetViews>
    <sheetView workbookViewId="0">
      <selection activeCell="C13" sqref="C13"/>
    </sheetView>
  </sheetViews>
  <sheetFormatPr baseColWidth="10" defaultRowHeight="15"/>
  <cols>
    <col min="1" max="1" width="23.7109375" style="20" bestFit="1" customWidth="1"/>
    <col min="2" max="3" width="11.42578125" style="20"/>
  </cols>
  <sheetData>
    <row r="1" spans="1:3" ht="15.75" thickBot="1">
      <c r="A1" s="40" t="s">
        <v>51</v>
      </c>
      <c r="B1" s="40" t="s">
        <v>52</v>
      </c>
      <c r="C1" s="40" t="s">
        <v>53</v>
      </c>
    </row>
    <row r="2" spans="1:3">
      <c r="A2" s="41" t="s">
        <v>134</v>
      </c>
      <c r="B2" s="49">
        <v>102524</v>
      </c>
      <c r="C2" s="20" t="s">
        <v>135</v>
      </c>
    </row>
    <row r="3" spans="1:3">
      <c r="A3" s="94" t="s">
        <v>144</v>
      </c>
      <c r="B3" s="49">
        <v>6306</v>
      </c>
      <c r="C3" s="38" t="s">
        <v>145</v>
      </c>
    </row>
    <row r="4" spans="1:3">
      <c r="A4" s="94" t="s">
        <v>136</v>
      </c>
      <c r="B4" s="49">
        <v>6272</v>
      </c>
      <c r="C4" s="38" t="s">
        <v>137</v>
      </c>
    </row>
    <row r="5" spans="1:3">
      <c r="A5" s="50" t="s">
        <v>91</v>
      </c>
      <c r="B5" s="49">
        <v>4976</v>
      </c>
      <c r="C5" s="49" t="s">
        <v>92</v>
      </c>
    </row>
    <row r="6" spans="1:3">
      <c r="A6" s="41" t="s">
        <v>54</v>
      </c>
      <c r="B6" s="49">
        <v>6388</v>
      </c>
      <c r="C6" s="20" t="s">
        <v>61</v>
      </c>
    </row>
    <row r="7" spans="1:3">
      <c r="A7" s="50" t="s">
        <v>95</v>
      </c>
      <c r="B7" s="49">
        <v>7287</v>
      </c>
      <c r="C7" s="49" t="s">
        <v>96</v>
      </c>
    </row>
    <row r="8" spans="1:3">
      <c r="A8" s="41" t="s">
        <v>114</v>
      </c>
      <c r="B8" s="49">
        <v>4965</v>
      </c>
      <c r="C8" s="20" t="s">
        <v>115</v>
      </c>
    </row>
    <row r="9" spans="1:3">
      <c r="A9" s="41" t="s">
        <v>55</v>
      </c>
      <c r="B9" s="49">
        <v>6390</v>
      </c>
      <c r="C9" s="20" t="s">
        <v>62</v>
      </c>
    </row>
    <row r="10" spans="1:3">
      <c r="A10" s="41" t="s">
        <v>56</v>
      </c>
      <c r="B10" s="49">
        <v>6084</v>
      </c>
      <c r="C10" s="20" t="s">
        <v>64</v>
      </c>
    </row>
    <row r="11" spans="1:3">
      <c r="A11" s="41" t="s">
        <v>93</v>
      </c>
      <c r="B11" s="49">
        <v>4975</v>
      </c>
      <c r="C11" s="20" t="s">
        <v>94</v>
      </c>
    </row>
    <row r="12" spans="1:3">
      <c r="A12" s="41" t="s">
        <v>98</v>
      </c>
      <c r="B12" s="49">
        <v>7345</v>
      </c>
      <c r="C12" s="20" t="s">
        <v>102</v>
      </c>
    </row>
    <row r="13" spans="1:3">
      <c r="A13" s="41" t="s">
        <v>99</v>
      </c>
      <c r="B13" s="49"/>
      <c r="C13" s="20" t="s">
        <v>105</v>
      </c>
    </row>
    <row r="14" spans="1:3">
      <c r="A14" s="41" t="s">
        <v>138</v>
      </c>
      <c r="B14" s="49">
        <v>102609</v>
      </c>
      <c r="C14" s="20" t="s">
        <v>139</v>
      </c>
    </row>
    <row r="15" spans="1:3">
      <c r="A15" s="41" t="s">
        <v>111</v>
      </c>
      <c r="B15" s="49">
        <v>1641</v>
      </c>
      <c r="C15" s="20" t="s">
        <v>112</v>
      </c>
    </row>
    <row r="16" spans="1:3">
      <c r="A16" s="41" t="s">
        <v>100</v>
      </c>
      <c r="B16" s="49">
        <v>6269</v>
      </c>
      <c r="C16" s="20" t="s">
        <v>104</v>
      </c>
    </row>
    <row r="17" spans="1:3">
      <c r="A17" s="41" t="s">
        <v>132</v>
      </c>
      <c r="B17" s="49">
        <v>6261</v>
      </c>
      <c r="C17" s="20" t="s">
        <v>133</v>
      </c>
    </row>
    <row r="18" spans="1:3">
      <c r="A18" s="41" t="s">
        <v>116</v>
      </c>
      <c r="B18" s="49">
        <v>7344</v>
      </c>
      <c r="C18" s="20" t="s">
        <v>117</v>
      </c>
    </row>
    <row r="19" spans="1:3">
      <c r="A19" s="41" t="s">
        <v>57</v>
      </c>
      <c r="B19" s="49">
        <v>6389</v>
      </c>
      <c r="C19" s="20" t="s">
        <v>70</v>
      </c>
    </row>
    <row r="20" spans="1:3">
      <c r="A20" s="41" t="s">
        <v>58</v>
      </c>
      <c r="B20" s="49">
        <v>6085</v>
      </c>
      <c r="C20" s="20" t="s">
        <v>65</v>
      </c>
    </row>
    <row r="21" spans="1:3">
      <c r="A21" s="41" t="s">
        <v>59</v>
      </c>
      <c r="B21" s="49">
        <v>6392</v>
      </c>
      <c r="C21" s="20" t="s">
        <v>71</v>
      </c>
    </row>
    <row r="22" spans="1:3">
      <c r="A22" s="41" t="s">
        <v>125</v>
      </c>
      <c r="B22" s="49">
        <v>102526</v>
      </c>
      <c r="C22" s="20" t="s">
        <v>126</v>
      </c>
    </row>
    <row r="23" spans="1:3" s="123" customFormat="1">
      <c r="A23" s="41" t="s">
        <v>60</v>
      </c>
      <c r="B23" s="49">
        <v>1651</v>
      </c>
      <c r="C23" s="20" t="s">
        <v>63</v>
      </c>
    </row>
    <row r="24" spans="1:3">
      <c r="A24" s="41" t="s">
        <v>146</v>
      </c>
      <c r="B24" s="49">
        <v>3681</v>
      </c>
      <c r="C24" s="20" t="s">
        <v>147</v>
      </c>
    </row>
    <row r="25" spans="1:3">
      <c r="A25" s="41" t="s">
        <v>140</v>
      </c>
      <c r="B25" s="49">
        <v>6618</v>
      </c>
      <c r="C25" s="20" t="s">
        <v>141</v>
      </c>
    </row>
    <row r="26" spans="1:3">
      <c r="A26" s="41" t="s">
        <v>97</v>
      </c>
      <c r="B26" s="49">
        <v>7347</v>
      </c>
      <c r="C26" s="20" t="s">
        <v>106</v>
      </c>
    </row>
    <row r="27" spans="1:3">
      <c r="A27" s="41" t="s">
        <v>130</v>
      </c>
      <c r="B27" s="49">
        <v>102527</v>
      </c>
      <c r="C27" s="20" t="s">
        <v>131</v>
      </c>
    </row>
    <row r="28" spans="1:3">
      <c r="A28" s="41" t="s">
        <v>171</v>
      </c>
      <c r="B28" s="49">
        <v>6263</v>
      </c>
      <c r="C28" s="20" t="s">
        <v>172</v>
      </c>
    </row>
    <row r="29" spans="1:3">
      <c r="A29" s="41" t="s">
        <v>101</v>
      </c>
      <c r="B29" s="49"/>
      <c r="C29" s="20" t="s">
        <v>103</v>
      </c>
    </row>
    <row r="30" spans="1:3">
      <c r="A30" s="41" t="s">
        <v>142</v>
      </c>
      <c r="B30" s="49">
        <v>6619</v>
      </c>
      <c r="C30" s="20" t="s">
        <v>143</v>
      </c>
    </row>
  </sheetData>
  <sortState ref="A2:C30">
    <sortCondition ref="A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B26" sqref="B26"/>
    </sheetView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13</vt:i4>
      </vt:variant>
    </vt:vector>
  </HeadingPairs>
  <TitlesOfParts>
    <vt:vector size="21" baseType="lpstr">
      <vt:lpstr>Orden 1</vt:lpstr>
      <vt:lpstr>Orden 3</vt:lpstr>
      <vt:lpstr>GARRAHAN</vt:lpstr>
      <vt:lpstr>Datos</vt:lpstr>
      <vt:lpstr>Instituciones</vt:lpstr>
      <vt:lpstr>FACTURACION</vt:lpstr>
      <vt:lpstr>Personal</vt:lpstr>
      <vt:lpstr>Hoja1</vt:lpstr>
      <vt:lpstr>inicialesaux</vt:lpstr>
      <vt:lpstr>lista</vt:lpstr>
      <vt:lpstr>FACTURACION!lista2</vt:lpstr>
      <vt:lpstr>lista2</vt:lpstr>
      <vt:lpstr>FACTURACION!listanueva</vt:lpstr>
      <vt:lpstr>listanueva</vt:lpstr>
      <vt:lpstr>nombreaux</vt:lpstr>
      <vt:lpstr>PERSONAL</vt:lpstr>
      <vt:lpstr>FACTURACION!Títulos_a_imprimir</vt:lpstr>
      <vt:lpstr>GARRAHAN!Títulos_a_imprimir</vt:lpstr>
      <vt:lpstr>Instituciones!Títulos_a_imprimir</vt:lpstr>
      <vt:lpstr>'Orden 1'!Títulos_a_imprimir</vt:lpstr>
      <vt:lpstr>'Orden 3'!Títulos_a_imprimir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Romano</dc:creator>
  <cp:lastModifiedBy>usuario</cp:lastModifiedBy>
  <cp:lastPrinted>2018-05-04T11:53:54Z</cp:lastPrinted>
  <dcterms:created xsi:type="dcterms:W3CDTF">2017-08-29T02:59:22Z</dcterms:created>
  <dcterms:modified xsi:type="dcterms:W3CDTF">2018-05-04T15:04:55Z</dcterms:modified>
</cp:coreProperties>
</file>